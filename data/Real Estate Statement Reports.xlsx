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s Summary" sheetId="1" r:id="rId3"/>
    <sheet state="visible" name="2024 Monthly Analysis" sheetId="2" r:id="rId4"/>
    <sheet state="visible" name="2023 Monthly Analysis" sheetId="3" r:id="rId5"/>
    <sheet state="visible" name="2022 Monthly Analysis" sheetId="4" r:id="rId6"/>
    <sheet state="visible" name="2021 Monthly Analysis" sheetId="5" r:id="rId7"/>
    <sheet state="visible" name="2020 Monthly Analysis" sheetId="6" r:id="rId8"/>
    <sheet state="visible" name="2025" sheetId="7" r:id="rId9"/>
    <sheet state="visible" name="2024" sheetId="8" r:id="rId10"/>
    <sheet state="visible" name="2023" sheetId="9" r:id="rId11"/>
    <sheet state="visible" name="2022" sheetId="10" r:id="rId12"/>
    <sheet state="visible" name="2021" sheetId="11" r:id="rId13"/>
    <sheet state="visible" name="2020" sheetId="12" r:id="rId14"/>
    <sheet state="visible" name="Acc 1 Credit Analysis " sheetId="13" r:id="rId15"/>
    <sheet state="visible" name="Acc 2 Credit Analysis  " sheetId="14" r:id="rId16"/>
    <sheet state="visible" name="Acc 3 Credit Analysis" sheetId="15" r:id="rId17"/>
  </sheets>
  <definedNames/>
  <calcPr/>
</workbook>
</file>

<file path=xl/sharedStrings.xml><?xml version="1.0" encoding="utf-8"?>
<sst xmlns="http://schemas.openxmlformats.org/spreadsheetml/2006/main" count="933" uniqueCount="92">
  <si>
    <t>REAL ESTATE INVOICE REPORT</t>
  </si>
  <si>
    <t>Year</t>
  </si>
  <si>
    <t>Rent Total</t>
  </si>
  <si>
    <t>Water Total</t>
  </si>
  <si>
    <t>Deposit Total</t>
  </si>
  <si>
    <t>Other Credit Total</t>
  </si>
  <si>
    <t>Total Revenue</t>
  </si>
  <si>
    <t>Grand Totals</t>
  </si>
  <si>
    <t>Bank Account</t>
  </si>
  <si>
    <t>Month</t>
  </si>
  <si>
    <t>Rent Revenue</t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</si>
  <si>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</si>
  <si>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</si>
  <si>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</si>
  <si>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</si>
  <si>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</si>
  <si>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</si>
  <si>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</si>
  <si>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</si>
  <si>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</si>
  <si>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</si>
  <si>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</si>
  <si>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</si>
  <si>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</si>
  <si>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</si>
  <si>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Monthly A</t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</si>
  <si>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</si>
  <si>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</si>
  <si>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t>Deposit</t>
  </si>
  <si>
    <t>Water Revenue</t>
  </si>
  <si>
    <t>Other Credit</t>
  </si>
  <si>
    <r>
      <rPr>
        <rFont val="Montserrat"/>
        <sz val="10.0"/>
      </rPr>
      <t>Co-operative Bank (</t>
    </r>
    <r>
      <rPr>
        <rFont val="Montserrat"/>
        <strike/>
        <color rgb="FFD9D9D9"/>
        <sz val="10.0"/>
      </rPr>
      <t>0112500290</t>
    </r>
    <r>
      <rPr>
        <rFont val="Montserrat"/>
        <sz val="10.0"/>
      </rPr>
      <t>3300)</t>
    </r>
  </si>
  <si>
    <r>
      <rPr>
        <rFont val="Montserrat"/>
      </rPr>
      <t>Co-operative Bank (</t>
    </r>
    <r>
      <rPr>
        <rFont val="Montserrat"/>
        <strike/>
        <color rgb="FFD9D9D9"/>
      </rPr>
      <t>0110300290</t>
    </r>
    <r>
      <rPr>
        <rFont val="Montserrat"/>
      </rPr>
      <t>3300)</t>
    </r>
  </si>
  <si>
    <r>
      <rPr>
        <rFont val="Montserrat"/>
      </rPr>
      <t>Co-operative Bank (</t>
    </r>
    <r>
      <rPr>
        <rFont val="Montserrat"/>
        <strike/>
        <color rgb="FFD9D9D9"/>
      </rPr>
      <t>0110916050</t>
    </r>
    <r>
      <rPr>
        <rFont val="Montserrat"/>
      </rPr>
      <t>6900)</t>
    </r>
  </si>
  <si>
    <r>
      <rPr>
        <rFont val="Montserrat"/>
      </rPr>
      <t>Equity Bank (</t>
    </r>
    <r>
      <rPr>
        <rFont val="Montserrat"/>
        <strike/>
        <color rgb="FFD9D9D9"/>
      </rPr>
      <t>118028331</t>
    </r>
    <r>
      <rPr>
        <rFont val="Montserrat"/>
      </rPr>
      <t>9666)</t>
    </r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</si>
  <si>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</si>
  <si>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0110300290</t>
    </r>
    <r>
      <rPr>
        <rFont val="Raleway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</si>
  <si>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0110916050</t>
    </r>
    <r>
      <rPr>
        <rFont val="Raleway"/>
      </rPr>
      <t>6900)</t>
    </r>
  </si>
  <si>
    <r>
      <rPr>
        <rFont val="Raleway"/>
      </rPr>
      <t>Equity Bank (</t>
    </r>
    <r>
      <rPr>
        <rFont val="Raleway"/>
        <strike/>
        <color rgb="FFD9D9D9"/>
      </rPr>
      <t>118028331</t>
    </r>
    <r>
      <rPr>
        <rFont val="Raleway"/>
      </rPr>
      <t>9666)</t>
    </r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</si>
  <si>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</si>
  <si>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0110300290</t>
    </r>
    <r>
      <rPr>
        <rFont val="Raleway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</si>
  <si>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0110916050</t>
    </r>
    <r>
      <rPr>
        <rFont val="Raleway"/>
      </rPr>
      <t>6900)</t>
    </r>
  </si>
  <si>
    <r>
      <rPr>
        <rFont val="Raleway"/>
      </rPr>
      <t>Equity Bank (</t>
    </r>
    <r>
      <rPr>
        <rFont val="Raleway"/>
        <strike/>
        <color rgb="FFD9D9D9"/>
      </rPr>
      <t>118028331</t>
    </r>
    <r>
      <rPr>
        <rFont val="Raleway"/>
      </rPr>
      <t>9666)</t>
    </r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</si>
  <si>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</si>
  <si>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0110300290</t>
    </r>
    <r>
      <rPr>
        <rFont val="Raleway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</si>
  <si>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0110916050</t>
    </r>
    <r>
      <rPr>
        <rFont val="Raleway"/>
      </rPr>
      <t>6900)</t>
    </r>
  </si>
  <si>
    <r>
      <rPr>
        <rFont val="Raleway"/>
      </rPr>
      <t>Equity Bank (</t>
    </r>
    <r>
      <rPr>
        <rFont val="Raleway"/>
        <strike/>
        <color rgb="FFD9D9D9"/>
      </rPr>
      <t>118028331</t>
    </r>
    <r>
      <rPr>
        <rFont val="Raleway"/>
      </rPr>
      <t>9666)</t>
    </r>
  </si>
  <si>
    <t xml:space="preserve">Total Revenue </t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</si>
  <si>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</si>
  <si>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0110300290</t>
    </r>
    <r>
      <rPr>
        <rFont val="Raleway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</si>
  <si>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0110916050</t>
    </r>
    <r>
      <rPr>
        <rFont val="Raleway"/>
      </rPr>
      <t>6900)</t>
    </r>
  </si>
  <si>
    <r>
      <rPr>
        <rFont val="Raleway"/>
        <sz val="10.0"/>
      </rPr>
      <t>Co-operative Bank (</t>
    </r>
    <r>
      <rPr>
        <rFont val="Raleway"/>
        <strike/>
        <color rgb="FFD9D9D9"/>
        <sz val="10.0"/>
      </rPr>
      <t>0112500290</t>
    </r>
    <r>
      <rPr>
        <rFont val="Raleway"/>
        <sz val="10.0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</si>
  <si>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0110300290</t>
    </r>
    <r>
      <rPr>
        <rFont val="Raleway"/>
      </rPr>
      <t>3300)</t>
    </r>
  </si>
  <si>
    <r>
      <rPr>
        <rFont val="Raleway"/>
      </rPr>
      <t>Co-operative Bank (</t>
    </r>
    <r>
      <rPr>
        <rFont val="Raleway"/>
        <strike/>
        <color rgb="FFD9D9D9"/>
      </rPr>
      <t>0110916050</t>
    </r>
    <r>
      <rPr>
        <rFont val="Raleway"/>
      </rPr>
      <t>6900)</t>
    </r>
  </si>
  <si>
    <t>Source</t>
  </si>
  <si>
    <t>Credit Amount</t>
  </si>
  <si>
    <r>
      <rPr>
        <rFont val="Montserrat"/>
        <sz val="10.0"/>
      </rPr>
      <t>Co-operative Bank (</t>
    </r>
    <r>
      <rPr>
        <rFont val="Montserrat"/>
        <strike/>
        <color rgb="FFD9D9D9"/>
        <sz val="10.0"/>
      </rPr>
      <t>0112500290</t>
    </r>
    <r>
      <rPr>
        <rFont val="Montserrat"/>
        <sz val="10.0"/>
      </rPr>
      <t>3300)</t>
    </r>
  </si>
  <si>
    <t>Ministry of Mining (salary)</t>
  </si>
  <si>
    <t>Ministry of Mining (Allowance)</t>
  </si>
  <si>
    <t>Hekima (From Account No: 01125002903300)</t>
  </si>
  <si>
    <t>Funds Transfer (From Accont No: 01125002903300)</t>
  </si>
  <si>
    <t>Co-op Self Transfer (From Account No: 01103002903300)</t>
  </si>
  <si>
    <t>Ministry of Agriculture (Salary)</t>
  </si>
  <si>
    <t>Ministry of Foreign Affairs (Salary)</t>
  </si>
  <si>
    <t>Ministry of Foreign Affairs (Allowance)</t>
  </si>
  <si>
    <t>195.920.65</t>
  </si>
  <si>
    <t>d</t>
  </si>
  <si>
    <t>Ministry of Public Works(Salary)</t>
  </si>
  <si>
    <t>Ministry of Public Works( Allowance)</t>
  </si>
  <si>
    <t>NCBA Bank Kenya PLC/ICEA</t>
  </si>
  <si>
    <t>Safaricom Payment</t>
  </si>
  <si>
    <t>Pension</t>
  </si>
  <si>
    <t>Grand Total</t>
  </si>
  <si>
    <r>
      <rPr>
        <rFont val="Montserrat"/>
        <sz val="10.0"/>
      </rPr>
      <t>Co-operative Bank (</t>
    </r>
    <r>
      <rPr>
        <rFont val="Montserrat"/>
        <strike/>
        <color rgb="FFD9D9D9"/>
        <sz val="10.0"/>
      </rPr>
      <t>0112500290</t>
    </r>
    <r>
      <rPr>
        <rFont val="Montserrat"/>
        <sz val="10.0"/>
      </rPr>
      <t>3300)</t>
    </r>
  </si>
  <si>
    <t>Ministry of Mining (Salary)</t>
  </si>
  <si>
    <t>Funds Transfer (From Account No: 01125002903300)</t>
  </si>
  <si>
    <t>Agriculture</t>
  </si>
  <si>
    <t>Co-op Loan Drawdown (From Account No: 01103002903300)</t>
  </si>
  <si>
    <t>Ministry of Foreign Affairs (salary)</t>
  </si>
  <si>
    <t>Naomi Njoroge JACONSTRUCTION (Wife Deposit)</t>
  </si>
  <si>
    <t>WASHINGTON  CoOperative Bank Head Office (Allowance)</t>
  </si>
  <si>
    <t>Cash Deposit Kenneth Mwangi</t>
  </si>
  <si>
    <t>Co-op Self Transfer (From Account No: 01125002903300)</t>
  </si>
  <si>
    <t>Ministry of Public Works (Salary)</t>
  </si>
  <si>
    <t>Jubilee Insurance</t>
  </si>
  <si>
    <t>Safaricom</t>
  </si>
  <si>
    <t>Ministry of Public Works (Allowance)</t>
  </si>
  <si>
    <t>National Treasury</t>
  </si>
  <si>
    <r>
      <rPr>
        <rFont val="Montserrat"/>
        <sz val="10.0"/>
      </rPr>
      <t>Co-operative Bank (</t>
    </r>
    <r>
      <rPr>
        <rFont val="Montserrat"/>
        <strike/>
        <color rgb="FFD9D9D9"/>
        <sz val="10.0"/>
      </rPr>
      <t>0112500290</t>
    </r>
    <r>
      <rPr>
        <rFont val="Montserrat"/>
        <sz val="10.0"/>
      </rPr>
      <t>3300)</t>
    </r>
  </si>
  <si>
    <t>Cash Deposit - Kenneth</t>
  </si>
  <si>
    <t>James Mutisya (Debt Refund)</t>
  </si>
  <si>
    <t>Charis Air Travels (Debt Refund)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</si>
</sst>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</font>
    <font>
      <sz val="10.0"/>
      <color rgb="FFFF5722"/>
      <name val="Montserrat"/>
    </font>
    <font>
      <b/>
      <sz val="25.0"/>
      <color rgb="FFFF5722"/>
      <name val="Montserrat"/>
    </font>
    <font>
      <sz val="25.0"/>
      <color rgb="FFFF5722"/>
      <name val="Montserrat"/>
    </font>
    <font>
      <sz val="10.0"/>
      <name val="Montserrat"/>
    </font>
    <font>
      <b/>
      <sz val="12.0"/>
      <color rgb="FF666666"/>
      <name val="Montserrat"/>
    </font>
    <font>
      <sz val="10.0"/>
      <color rgb="FFFFFFFF"/>
      <name val="Montserrat"/>
    </font>
    <font>
      <b/>
      <sz val="10.0"/>
      <name val="Montserrat"/>
    </font>
    <font>
      <b/>
      <sz val="10.0"/>
      <color rgb="FF000000"/>
      <name val="Montserrat"/>
    </font>
    <font>
      <b/>
      <color rgb="FF000000"/>
      <name val="Montserrat"/>
    </font>
    <font>
      <b/>
      <name val="Montserrat"/>
    </font>
    <font>
      <name val="Montserrat"/>
    </font>
    <font>
      <sz val="10.0"/>
      <color rgb="FFFF5722"/>
      <name val="Raleway"/>
    </font>
    <font>
      <sz val="25.0"/>
      <color rgb="FFFF5722"/>
      <name val="Raleway"/>
    </font>
    <font>
      <sz val="10.0"/>
      <name val="Raleway"/>
    </font>
    <font>
      <b/>
      <sz val="12.0"/>
      <color rgb="FF666666"/>
      <name val="Raleway"/>
    </font>
    <font>
      <sz val="10.0"/>
      <color rgb="FFFFFFFF"/>
      <name val="Raleway"/>
    </font>
    <font>
      <b/>
      <sz val="10.0"/>
      <name val="Raleway"/>
    </font>
    <font>
      <b/>
      <sz val="10.0"/>
      <color rgb="FFFFFFFF"/>
      <name val="Raleway"/>
    </font>
    <font>
      <sz val="25.0"/>
      <color rgb="FFFF5722"/>
      <name val="Alfa Slab One"/>
    </font>
    <font>
      <name val="Arial"/>
    </font>
    <font>
      <name val="Raleway"/>
    </font>
    <font>
      <b/>
      <name val="Arial"/>
    </font>
    <font>
      <b/>
      <sz val="25.0"/>
      <color rgb="FFFF5722"/>
      <name val="Raleway"/>
    </font>
    <font>
      <sz val="10.0"/>
      <color rgb="FFFFFFFF"/>
      <name val="Arial"/>
    </font>
    <font>
      <b/>
      <sz val="10.0"/>
      <color rgb="FF000000"/>
      <name val="Arial"/>
    </font>
    <font>
      <b/>
    </font>
  </fonts>
  <fills count="7">
    <fill>
      <patternFill patternType="none"/>
    </fill>
    <fill>
      <patternFill patternType="lightGray"/>
    </fill>
    <fill>
      <patternFill patternType="solid">
        <fgColor rgb="FF3367D6"/>
        <bgColor rgb="FF3367D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left" readingOrder="0" vertical="top"/>
    </xf>
    <xf borderId="0" fillId="0" fontId="4" numFmtId="0" xfId="0" applyAlignment="1" applyFont="1">
      <alignment horizontal="center" vertical="center"/>
    </xf>
    <xf borderId="0" fillId="2" fontId="6" numFmtId="0" xfId="0" applyAlignment="1" applyFill="1" applyFont="1">
      <alignment horizontal="left" readingOrder="0" vertical="center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3" fontId="9" numFmtId="0" xfId="0" applyAlignment="1" applyFill="1" applyFont="1">
      <alignment horizontal="left"/>
    </xf>
    <xf borderId="0" fillId="0" fontId="10" numFmtId="0" xfId="0" applyAlignment="1" applyFont="1">
      <alignment horizontal="left" readingOrder="0"/>
    </xf>
    <xf borderId="0" fillId="0" fontId="8" numFmtId="3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11" numFmtId="0" xfId="0" applyAlignment="1" applyFont="1">
      <alignment horizontal="center" vertical="bottom"/>
    </xf>
    <xf borderId="0" fillId="3" fontId="10" numFmtId="0" xfId="0" applyAlignment="1" applyFont="1">
      <alignment horizontal="left" readingOrder="0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left" readingOrder="0" vertical="bottom"/>
    </xf>
    <xf borderId="0" fillId="0" fontId="14" numFmtId="0" xfId="0" applyAlignment="1" applyFont="1">
      <alignment horizontal="center" vertical="top"/>
    </xf>
    <xf borderId="0" fillId="0" fontId="15" numFmtId="0" xfId="0" applyAlignment="1" applyFont="1">
      <alignment horizontal="left" readingOrder="0" vertical="top"/>
    </xf>
    <xf borderId="0" fillId="0" fontId="14" numFmtId="0" xfId="0" applyAlignment="1" applyFont="1">
      <alignment horizontal="center" vertical="center"/>
    </xf>
    <xf borderId="0" fillId="2" fontId="16" numFmtId="0" xfId="0" applyAlignment="1" applyFont="1">
      <alignment horizontal="left" readingOrder="0" vertical="center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left" vertical="center"/>
    </xf>
    <xf borderId="0" fillId="2" fontId="18" numFmtId="0" xfId="0" applyAlignment="1" applyFont="1">
      <alignment horizontal="center" readingOrder="0" vertical="center"/>
    </xf>
    <xf borderId="0" fillId="0" fontId="14" numFmtId="0" xfId="0" applyAlignment="1" applyFont="1">
      <alignment vertical="bottom"/>
    </xf>
    <xf borderId="0" fillId="0" fontId="8" numFmtId="4" xfId="0" applyAlignment="1" applyFont="1" applyNumberFormat="1">
      <alignment horizontal="left" readingOrder="0" vertical="center"/>
    </xf>
    <xf borderId="0" fillId="0" fontId="12" numFmtId="0" xfId="0" applyAlignment="1" applyFont="1">
      <alignment readingOrder="0" vertical="bottom"/>
    </xf>
    <xf borderId="0" fillId="0" fontId="19" numFmtId="0" xfId="0" applyAlignment="1" applyFont="1">
      <alignment horizontal="left" readingOrder="0" vertical="bottom"/>
    </xf>
    <xf borderId="0" fillId="4" fontId="9" numFmtId="3" xfId="0" applyAlignment="1" applyFill="1" applyFont="1" applyNumberFormat="1">
      <alignment horizontal="left" readingOrder="0"/>
    </xf>
    <xf borderId="0" fillId="5" fontId="11" numFmtId="0" xfId="0" applyAlignment="1" applyFill="1" applyFont="1">
      <alignment horizontal="left" readingOrder="0"/>
    </xf>
    <xf borderId="0" fillId="4" fontId="9" numFmtId="0" xfId="0" applyAlignment="1" applyFont="1">
      <alignment horizontal="left"/>
    </xf>
    <xf borderId="0" fillId="4" fontId="9" numFmtId="0" xfId="0" applyAlignment="1" applyFont="1">
      <alignment horizontal="left" readingOrder="0"/>
    </xf>
    <xf borderId="0" fillId="3" fontId="11" numFmtId="0" xfId="0" applyAlignment="1" applyFont="1">
      <alignment horizontal="left"/>
    </xf>
    <xf borderId="0" fillId="3" fontId="9" numFmtId="0" xfId="0" applyAlignment="1" applyFont="1">
      <alignment horizontal="left"/>
    </xf>
    <xf borderId="0" fillId="3" fontId="9" numFmtId="0" xfId="0" applyAlignment="1" applyFont="1">
      <alignment horizontal="left" readingOrder="0"/>
    </xf>
    <xf borderId="0" fillId="4" fontId="11" numFmtId="0" xfId="0" applyAlignment="1" applyFont="1">
      <alignment horizontal="left"/>
    </xf>
    <xf borderId="0" fillId="3" fontId="11" numFmtId="0" xfId="0" applyAlignment="1" applyFont="1">
      <alignment horizontal="left"/>
    </xf>
    <xf borderId="0" fillId="4" fontId="9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4" fontId="11" numFmtId="0" xfId="0" applyAlignment="1" applyFont="1">
      <alignment horizontal="left" readingOrder="0"/>
    </xf>
    <xf borderId="0" fillId="3" fontId="9" numFmtId="3" xfId="0" applyAlignment="1" applyFont="1" applyNumberFormat="1">
      <alignment horizontal="left" readingOrder="0"/>
    </xf>
    <xf borderId="0" fillId="3" fontId="9" numFmtId="3" xfId="0" applyAlignment="1" applyFont="1" applyNumberFormat="1">
      <alignment horizontal="left"/>
    </xf>
    <xf borderId="0" fillId="0" fontId="20" numFmtId="0" xfId="0" applyAlignment="1" applyFont="1">
      <alignment horizontal="center" vertical="bottom"/>
    </xf>
    <xf borderId="0" fillId="5" fontId="21" numFmtId="0" xfId="0" applyAlignment="1" applyFont="1">
      <alignment horizontal="left" readingOrder="0"/>
    </xf>
    <xf borderId="0" fillId="3" fontId="20" numFmtId="0" xfId="0" applyAlignment="1" applyFont="1">
      <alignment horizontal="left"/>
    </xf>
    <xf borderId="0" fillId="4" fontId="20" numFmtId="0" xfId="0" applyAlignment="1" applyFont="1">
      <alignment horizontal="left"/>
    </xf>
    <xf borderId="0" fillId="3" fontId="20" numFmtId="0" xfId="0" applyAlignment="1" applyFont="1">
      <alignment horizontal="left"/>
    </xf>
    <xf borderId="0" fillId="4" fontId="9" numFmtId="4" xfId="0" applyAlignment="1" applyFont="1" applyNumberFormat="1">
      <alignment horizontal="left" readingOrder="0"/>
    </xf>
    <xf borderId="0" fillId="3" fontId="9" numFmtId="4" xfId="0" applyAlignment="1" applyFont="1" applyNumberFormat="1">
      <alignment horizontal="left" readingOrder="0"/>
    </xf>
    <xf borderId="0" fillId="0" fontId="14" numFmtId="0" xfId="0" applyAlignment="1" applyFont="1">
      <alignment horizontal="center"/>
    </xf>
    <xf borderId="0" fillId="0" fontId="17" numFmtId="0" xfId="0" applyAlignment="1" applyFont="1">
      <alignment horizontal="left" readingOrder="0"/>
    </xf>
    <xf borderId="0" fillId="0" fontId="8" numFmtId="3" xfId="0" applyAlignment="1" applyFont="1" applyNumberFormat="1">
      <alignment horizontal="left"/>
    </xf>
    <xf borderId="0" fillId="0" fontId="14" numFmtId="0" xfId="0" applyAlignment="1" applyFont="1">
      <alignment horizontal="left"/>
    </xf>
    <xf borderId="0" fillId="4" fontId="21" numFmtId="0" xfId="0" applyAlignment="1" applyFont="1">
      <alignment horizontal="left" readingOrder="0"/>
    </xf>
    <xf borderId="0" fillId="3" fontId="22" numFmtId="0" xfId="0" applyAlignment="1" applyFont="1">
      <alignment horizontal="left" readingOrder="0"/>
    </xf>
    <xf borderId="0" fillId="0" fontId="20" numFmtId="0" xfId="0" applyAlignment="1" applyFont="1">
      <alignment vertical="bottom"/>
    </xf>
    <xf borderId="0" fillId="4" fontId="8" numFmtId="0" xfId="0" applyAlignment="1" applyFont="1">
      <alignment horizontal="left" readingOrder="0"/>
    </xf>
    <xf borderId="0" fillId="0" fontId="14" numFmtId="0" xfId="0" applyFont="1"/>
    <xf borderId="0" fillId="0" fontId="8" numFmtId="4" xfId="0" applyAlignment="1" applyFont="1" applyNumberFormat="1">
      <alignment horizontal="left"/>
    </xf>
    <xf borderId="0" fillId="0" fontId="23" numFmtId="0" xfId="0" applyAlignment="1" applyFont="1">
      <alignment horizontal="left" readingOrder="0" vertical="bottom"/>
    </xf>
    <xf borderId="0" fillId="2" fontId="24" numFmtId="0" xfId="0" applyAlignment="1" applyFont="1">
      <alignment horizontal="left" readingOrder="0" vertical="center"/>
    </xf>
    <xf borderId="0" fillId="0" fontId="25" numFmtId="0" xfId="0" applyAlignment="1" applyFont="1">
      <alignment horizontal="left" readingOrder="0" vertical="center"/>
    </xf>
    <xf borderId="0" fillId="0" fontId="8" numFmtId="3" xfId="0" applyAlignment="1" applyFont="1" applyNumberFormat="1">
      <alignment horizontal="left" readingOrder="0" vertical="center"/>
    </xf>
    <xf borderId="0" fillId="4" fontId="9" numFmtId="3" xfId="0" applyAlignment="1" applyFont="1" applyNumberFormat="1">
      <alignment horizontal="left"/>
    </xf>
    <xf borderId="0" fillId="4" fontId="20" numFmtId="0" xfId="0" applyAlignment="1" applyFont="1">
      <alignment horizontal="left"/>
    </xf>
    <xf borderId="0" fillId="4" fontId="10" numFmtId="3" xfId="0" applyAlignment="1" applyFont="1" applyNumberFormat="1">
      <alignment horizontal="left" readingOrder="0" vertical="bottom"/>
    </xf>
    <xf borderId="0" fillId="4" fontId="22" numFmtId="0" xfId="0" applyAlignment="1" applyFont="1">
      <alignment horizontal="left" readingOrder="0"/>
    </xf>
    <xf borderId="0" fillId="3" fontId="22" numFmtId="0" xfId="0" applyAlignment="1" applyFont="1">
      <alignment horizontal="left"/>
    </xf>
    <xf borderId="0" fillId="4" fontId="10" numFmtId="0" xfId="0" applyAlignment="1" applyFont="1">
      <alignment horizontal="left" readingOrder="0" vertical="bottom"/>
    </xf>
    <xf borderId="0" fillId="4" fontId="22" numFmtId="3" xfId="0" applyAlignment="1" applyFont="1" applyNumberFormat="1">
      <alignment horizontal="left" readingOrder="0"/>
    </xf>
    <xf borderId="0" fillId="3" fontId="22" numFmtId="3" xfId="0" applyAlignment="1" applyFont="1" applyNumberFormat="1">
      <alignment horizontal="left" readingOrder="0"/>
    </xf>
    <xf borderId="0" fillId="4" fontId="22" numFmtId="0" xfId="0" applyAlignment="1" applyFont="1">
      <alignment horizontal="left"/>
    </xf>
    <xf borderId="0" fillId="4" fontId="9" numFmtId="0" xfId="0" applyAlignment="1" applyFont="1">
      <alignment horizontal="left" readingOrder="0" vertical="bottom"/>
    </xf>
    <xf borderId="0" fillId="6" fontId="4" numFmtId="0" xfId="0" applyAlignment="1" applyFill="1" applyFont="1">
      <alignment horizontal="center" vertical="bottom"/>
    </xf>
    <xf borderId="0" fillId="6" fontId="4" numFmtId="0" xfId="0" applyAlignment="1" applyFont="1">
      <alignment horizontal="left" readingOrder="0" vertical="center"/>
    </xf>
    <xf borderId="0" fillId="6" fontId="20" numFmtId="0" xfId="0" applyAlignment="1" applyFont="1">
      <alignment horizontal="left"/>
    </xf>
    <xf borderId="0" fillId="6" fontId="9" numFmtId="0" xfId="0" applyAlignment="1" applyFont="1">
      <alignment horizontal="left"/>
    </xf>
    <xf borderId="0" fillId="6" fontId="9" numFmtId="0" xfId="0" applyAlignment="1" applyFont="1">
      <alignment horizontal="left" readingOrder="0"/>
    </xf>
    <xf borderId="0" fillId="6" fontId="9" numFmtId="3" xfId="0" applyAlignment="1" applyFont="1" applyNumberFormat="1">
      <alignment horizontal="left" readingOrder="0"/>
    </xf>
    <xf borderId="0" fillId="6" fontId="8" numFmtId="0" xfId="0" applyAlignment="1" applyFont="1">
      <alignment horizontal="left" readingOrder="0" vertical="center"/>
    </xf>
    <xf borderId="0" fillId="0" fontId="26" numFmtId="3" xfId="0" applyAlignment="1" applyFont="1" applyNumberFormat="1">
      <alignment horizontal="left" readingOrder="0"/>
    </xf>
    <xf borderId="0" fillId="0" fontId="26" numFmtId="4" xfId="0" applyAlignment="1" applyFont="1" applyNumberFormat="1">
      <alignment horizontal="left" readingOrder="0"/>
    </xf>
    <xf borderId="0" fillId="4" fontId="10" numFmtId="0" xfId="0" applyAlignment="1" applyFont="1">
      <alignment horizontal="left" vertical="bottom"/>
    </xf>
    <xf borderId="0" fillId="0" fontId="9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0">
    <tableStyle count="2" pivot="0" name="Totals Summary-style">
      <tableStyleElement dxfId="1" type="firstRowStripe"/>
      <tableStyleElement dxfId="2" type="secondRowStripe"/>
    </tableStyle>
    <tableStyle count="2" pivot="0" name="Totals Summary-style 2">
      <tableStyleElement dxfId="1" type="firstRowStripe"/>
      <tableStyleElement dxfId="2" type="secondRowStripe"/>
    </tableStyle>
    <tableStyle count="2" pivot="0" name="2024 Monthly Analysis-style">
      <tableStyleElement dxfId="1" type="firstRowStripe"/>
      <tableStyleElement dxfId="2" type="secondRowStripe"/>
    </tableStyle>
    <tableStyle count="2" pivot="0" name="2024 Monthly Analysis-style 2">
      <tableStyleElement dxfId="1" type="firstRowStripe"/>
      <tableStyleElement dxfId="2" type="secondRowStripe"/>
    </tableStyle>
    <tableStyle count="2" pivot="0" name="2023 Monthly Analysis-style">
      <tableStyleElement dxfId="1" type="firstRowStripe"/>
      <tableStyleElement dxfId="2" type="secondRowStripe"/>
    </tableStyle>
    <tableStyle count="2" pivot="0" name="2023 Monthly Analysis-style 2">
      <tableStyleElement dxfId="1" type="firstRowStripe"/>
      <tableStyleElement dxfId="2" type="secondRowStripe"/>
    </tableStyle>
    <tableStyle count="2" pivot="0" name="2022 Monthly Analysis-style">
      <tableStyleElement dxfId="1" type="firstRowStripe"/>
      <tableStyleElement dxfId="2" type="secondRowStripe"/>
    </tableStyle>
    <tableStyle count="2" pivot="0" name="2022 Monthly Analysis-style 2">
      <tableStyleElement dxfId="1" type="firstRowStripe"/>
      <tableStyleElement dxfId="2" type="secondRowStripe"/>
    </tableStyle>
    <tableStyle count="2" pivot="0" name="2021 Monthly Analysis-style">
      <tableStyleElement dxfId="1" type="firstRowStripe"/>
      <tableStyleElement dxfId="2" type="secondRowStripe"/>
    </tableStyle>
    <tableStyle count="2" pivot="0" name="2021 Monthly Analysis-style 2">
      <tableStyleElement dxfId="1" type="firstRowStripe"/>
      <tableStyleElement dxfId="2" type="secondRowStripe"/>
    </tableStyle>
    <tableStyle count="2" pivot="0" name="2020 Monthly Analysis-style">
      <tableStyleElement dxfId="1" type="firstRowStripe"/>
      <tableStyleElement dxfId="2" type="secondRowStripe"/>
    </tableStyle>
    <tableStyle count="2" pivot="0" name="2020 Monthly Analysis-style 2">
      <tableStyleElement dxfId="1" type="firstRowStripe"/>
      <tableStyleElement dxfId="2" type="secondRowStripe"/>
    </tableStyle>
    <tableStyle count="2" pivot="0" name="2025-style">
      <tableStyleElement dxfId="1" type="firstRowStripe"/>
      <tableStyleElement dxfId="2" type="secondRowStripe"/>
    </tableStyle>
    <tableStyle count="2" pivot="0" name="2025-style 2">
      <tableStyleElement dxfId="1" type="firstRowStripe"/>
      <tableStyleElement dxfId="2" type="secondRowStripe"/>
    </tableStyle>
    <tableStyle count="2" pivot="0" name="2024-style">
      <tableStyleElement dxfId="1" type="firstRowStripe"/>
      <tableStyleElement dxfId="2" type="secondRowStripe"/>
    </tableStyle>
    <tableStyle count="2" pivot="0" name="2024-style 2">
      <tableStyleElement dxfId="1" type="firstRowStripe"/>
      <tableStyleElement dxfId="2" type="secondRowStripe"/>
    </tableStyle>
    <tableStyle count="2" pivot="0" name="2023-style">
      <tableStyleElement dxfId="1" type="firstRowStripe"/>
      <tableStyleElement dxfId="2" type="secondRowStripe"/>
    </tableStyle>
    <tableStyle count="2" pivot="0" name="2023-style 2">
      <tableStyleElement dxfId="1" type="firstRowStripe"/>
      <tableStyleElement dxfId="2" type="secondRowStripe"/>
    </tableStyle>
    <tableStyle count="2" pivot="0" name="2022-style">
      <tableStyleElement dxfId="1" type="firstRowStripe"/>
      <tableStyleElement dxfId="2" type="secondRowStripe"/>
    </tableStyle>
    <tableStyle count="2" pivot="0" name="2022-style 2">
      <tableStyleElement dxfId="1" type="firstRowStripe"/>
      <tableStyleElement dxfId="2" type="secondRowStripe"/>
    </tableStyle>
    <tableStyle count="2" pivot="0" name="2021-style">
      <tableStyleElement dxfId="1" type="firstRowStripe"/>
      <tableStyleElement dxfId="2" type="secondRowStripe"/>
    </tableStyle>
    <tableStyle count="2" pivot="0" name="2021-style 2">
      <tableStyleElement dxfId="1" type="firstRowStripe"/>
      <tableStyleElement dxfId="2" type="secondRowStripe"/>
    </tableStyle>
    <tableStyle count="2" pivot="0" name="2020-style">
      <tableStyleElement dxfId="1" type="firstRowStripe"/>
      <tableStyleElement dxfId="2" type="secondRowStripe"/>
    </tableStyle>
    <tableStyle count="2" pivot="0" name="2020-style 2">
      <tableStyleElement dxfId="1" type="firstRowStripe"/>
      <tableStyleElement dxfId="2" type="secondRowStripe"/>
    </tableStyle>
    <tableStyle count="2" pivot="0" name="Acc 1 Credit Analysis -style">
      <tableStyleElement dxfId="1" type="firstRowStripe"/>
      <tableStyleElement dxfId="2" type="secondRowStripe"/>
    </tableStyle>
    <tableStyle count="2" pivot="0" name="Acc 1 Credit Analysis -style 2">
      <tableStyleElement dxfId="1" type="firstRowStripe"/>
      <tableStyleElement dxfId="2" type="secondRowStripe"/>
    </tableStyle>
    <tableStyle count="2" pivot="0" name="Acc 2 Credit Analysis  -style">
      <tableStyleElement dxfId="1" type="firstRowStripe"/>
      <tableStyleElement dxfId="2" type="secondRowStripe"/>
    </tableStyle>
    <tableStyle count="2" pivot="0" name="Acc 2 Credit Analysis  -style 2">
      <tableStyleElement dxfId="1" type="firstRowStripe"/>
      <tableStyleElement dxfId="2" type="secondRowStripe"/>
    </tableStyle>
    <tableStyle count="2" pivot="0" name="Acc 3 Credit Analysis-style">
      <tableStyleElement dxfId="1" type="firstRowStripe"/>
      <tableStyleElement dxfId="2" type="secondRowStripe"/>
    </tableStyle>
    <tableStyle count="2" pivot="0" name="Acc 3 Credit Analysi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G1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otals 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B12:G12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otals Summary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:D12" displayName="Table_3" name="Table_3" id="3">
  <tableColumns count="3">
    <tableColumn name="Column1" id="1"/>
    <tableColumn name="Column2" id="2"/>
    <tableColumn name="Column3" id="3"/>
  </tableColumns>
  <tableStyleInfo name="2024 Monthly Analysis-style" showColumnStripes="0" showFirstColumn="1" showLastColumn="1" showRowStripes="1"/>
</table>
</file>

<file path=xl/tables/table4.xml><?xml version="1.0" encoding="utf-8"?>
<table xmlns="http://schemas.openxmlformats.org/spreadsheetml/2006/main" headerRowCount="0" ref="B13:D17" displayName="Table_4" name="Table_4" id="4">
  <tableColumns count="3">
    <tableColumn name="Column1" id="1"/>
    <tableColumn name="Column2" id="2"/>
    <tableColumn name="Column3" id="3"/>
  </tableColumns>
  <tableStyleInfo name="2024 Monthly Analysis-style 2" showColumnStripes="0" showFirstColumn="1" showLastColumn="1" showRowStripes="1"/>
</table>
</file>

<file path=xl/tables/table5.xml><?xml version="1.0" encoding="utf-8"?>
<table xmlns="http://schemas.openxmlformats.org/spreadsheetml/2006/main" headerRowCount="0" ref="B5:H12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3 Monthly Analysis-style" showColumnStripes="0" showFirstColumn="1" showLastColumn="1" showRowStripes="1"/>
</table>
</file>

<file path=xl/tables/table6.xml><?xml version="1.0" encoding="utf-8"?>
<table xmlns="http://schemas.openxmlformats.org/spreadsheetml/2006/main" headerRowCount="0" ref="B13:H17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3 Monthly Analysis-style 2" showColumnStripes="0" showFirstColumn="1" showLastColumn="1" showRowStripes="1"/>
</table>
</file>

<file path=xl/tables/table7.xml><?xml version="1.0" encoding="utf-8"?>
<table xmlns="http://schemas.openxmlformats.org/spreadsheetml/2006/main" headerRowCount="0" ref="B5:D12" displayName="Table_7" name="Table_7" id="7">
  <tableColumns count="3">
    <tableColumn name="Column1" id="1"/>
    <tableColumn name="Column2" id="2"/>
    <tableColumn name="Column3" id="3"/>
  </tableColumns>
  <tableStyleInfo name="2022 Monthly Analysis-style" showColumnStripes="0" showFirstColumn="1" showLastColumn="1" showRowStripes="1"/>
</table>
</file>

<file path=xl/tables/table8.xml><?xml version="1.0" encoding="utf-8"?>
<table xmlns="http://schemas.openxmlformats.org/spreadsheetml/2006/main" headerRowCount="0" ref="B13:D17" displayName="Table_8" name="Table_8" id="8">
  <tableColumns count="3">
    <tableColumn name="Column1" id="1"/>
    <tableColumn name="Column2" id="2"/>
    <tableColumn name="Column3" id="3"/>
  </tableColumns>
  <tableStyleInfo name="2022 Monthly Analysis-style 2" showColumnStripes="0" showFirstColumn="1" showLastColumn="1" showRowStripes="1"/>
</table>
</file>

<file path=xl/tables/table9.xml><?xml version="1.0" encoding="utf-8"?>
<table xmlns="http://schemas.openxmlformats.org/spreadsheetml/2006/main" headerRowCount="0" ref="B5:D12" displayName="Table_9" name="Table_9" id="9">
  <tableColumns count="3">
    <tableColumn name="Column1" id="1"/>
    <tableColumn name="Column2" id="2"/>
    <tableColumn name="Column3" id="3"/>
  </tableColumns>
  <tableStyleInfo name="2021 Monthly Analysis-style" showColumnStripes="0" showFirstColumn="1" showLastColumn="1" showRowStripes="1"/>
</table>
</file>

<file path=xl/tables/table10.xml><?xml version="1.0" encoding="utf-8"?>
<table xmlns="http://schemas.openxmlformats.org/spreadsheetml/2006/main" headerRowCount="0" ref="B13:D17" displayName="Table_10" name="Table_10" id="10">
  <tableColumns count="3">
    <tableColumn name="Column1" id="1"/>
    <tableColumn name="Column2" id="2"/>
    <tableColumn name="Column3" id="3"/>
  </tableColumns>
  <tableStyleInfo name="2021 Monthly Analysis-style 2" showColumnStripes="0" showFirstColumn="1" showLastColumn="1" showRowStripes="1"/>
</table>
</file>

<file path=xl/tables/table11.xml><?xml version="1.0" encoding="utf-8"?>
<table xmlns="http://schemas.openxmlformats.org/spreadsheetml/2006/main" headerRowCount="0" ref="B5:D12" displayName="Table_11" name="Table_11" id="11">
  <tableColumns count="3">
    <tableColumn name="Column1" id="1"/>
    <tableColumn name="Column2" id="2"/>
    <tableColumn name="Column3" id="3"/>
  </tableColumns>
  <tableStyleInfo name="2020 Monthly Analysis-style" showColumnStripes="0" showFirstColumn="1" showLastColumn="1" showRowStripes="1"/>
</table>
</file>

<file path=xl/tables/table12.xml><?xml version="1.0" encoding="utf-8"?>
<table xmlns="http://schemas.openxmlformats.org/spreadsheetml/2006/main" headerRowCount="0" ref="B13:D17" displayName="Table_12" name="Table_12" id="12">
  <tableColumns count="3">
    <tableColumn name="Column1" id="1"/>
    <tableColumn name="Column2" id="2"/>
    <tableColumn name="Column3" id="3"/>
  </tableColumns>
  <tableStyleInfo name="2020 Monthly Analysis-style 2" showColumnStripes="0" showFirstColumn="1" showLastColumn="1" showRowStripes="1"/>
</table>
</file>

<file path=xl/tables/table13.xml><?xml version="1.0" encoding="utf-8"?>
<table xmlns="http://schemas.openxmlformats.org/spreadsheetml/2006/main" headerRowCount="0" ref="B5:H12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5-style" showColumnStripes="0" showFirstColumn="1" showLastColumn="1" showRowStripes="1"/>
</table>
</file>

<file path=xl/tables/table14.xml><?xml version="1.0" encoding="utf-8"?>
<table xmlns="http://schemas.openxmlformats.org/spreadsheetml/2006/main" headerRowCount="0" ref="B13:H63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5-style 2" showColumnStripes="0" showFirstColumn="1" showLastColumn="1" showRowStripes="1"/>
</table>
</file>

<file path=xl/tables/table15.xml><?xml version="1.0" encoding="utf-8"?>
<table xmlns="http://schemas.openxmlformats.org/spreadsheetml/2006/main" headerRowCount="0" ref="B5:H12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4-style" showColumnStripes="0" showFirstColumn="1" showLastColumn="1" showRowStripes="1"/>
</table>
</file>

<file path=xl/tables/table16.xml><?xml version="1.0" encoding="utf-8"?>
<table xmlns="http://schemas.openxmlformats.org/spreadsheetml/2006/main" headerRowCount="0" ref="B13:H64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4-style 2" showColumnStripes="0" showFirstColumn="1" showLastColumn="1" showRowStripes="1"/>
</table>
</file>

<file path=xl/tables/table17.xml><?xml version="1.0" encoding="utf-8"?>
<table xmlns="http://schemas.openxmlformats.org/spreadsheetml/2006/main" headerRowCount="0" ref="B5:H12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3-style" showColumnStripes="0" showFirstColumn="1" showLastColumn="1" showRowStripes="1"/>
</table>
</file>

<file path=xl/tables/table18.xml><?xml version="1.0" encoding="utf-8"?>
<table xmlns="http://schemas.openxmlformats.org/spreadsheetml/2006/main" headerRowCount="0" ref="B13:H63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3-style 2" showColumnStripes="0" showFirstColumn="1" showLastColumn="1" showRowStripes="1"/>
</table>
</file>

<file path=xl/tables/table19.xml><?xml version="1.0" encoding="utf-8"?>
<table xmlns="http://schemas.openxmlformats.org/spreadsheetml/2006/main" headerRowCount="0" ref="B5:H12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2-style" showColumnStripes="0" showFirstColumn="1" showLastColumn="1" showRowStripes="1"/>
</table>
</file>

<file path=xl/tables/table20.xml><?xml version="1.0" encoding="utf-8"?>
<table xmlns="http://schemas.openxmlformats.org/spreadsheetml/2006/main" headerRowCount="0" ref="B13:H55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2-style 2" showColumnStripes="0" showFirstColumn="1" showLastColumn="1" showRowStripes="1"/>
</table>
</file>

<file path=xl/tables/table21.xml><?xml version="1.0" encoding="utf-8"?>
<table xmlns="http://schemas.openxmlformats.org/spreadsheetml/2006/main" headerRowCount="0" ref="B5:H12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1-style" showColumnStripes="0" showFirstColumn="1" showLastColumn="1" showRowStripes="1"/>
</table>
</file>

<file path=xl/tables/table22.xml><?xml version="1.0" encoding="utf-8"?>
<table xmlns="http://schemas.openxmlformats.org/spreadsheetml/2006/main" headerRowCount="0" ref="B13:H48" displayName="Table_22" name="Table_22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1-style 2" showColumnStripes="0" showFirstColumn="1" showLastColumn="1" showRowStripes="1"/>
</table>
</file>

<file path=xl/tables/table23.xml><?xml version="1.0" encoding="utf-8"?>
<table xmlns="http://schemas.openxmlformats.org/spreadsheetml/2006/main" headerRowCount="0" ref="B5:H12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0-style" showColumnStripes="0" showFirstColumn="1" showLastColumn="1" showRowStripes="1"/>
</table>
</file>

<file path=xl/tables/table24.xml><?xml version="1.0" encoding="utf-8"?>
<table xmlns="http://schemas.openxmlformats.org/spreadsheetml/2006/main" headerRowCount="0" ref="B13:H48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0-style 2" showColumnStripes="0" showFirstColumn="1" showLastColumn="1" showRowStripes="1"/>
</table>
</file>

<file path=xl/tables/table25.xml><?xml version="1.0" encoding="utf-8"?>
<table xmlns="http://schemas.openxmlformats.org/spreadsheetml/2006/main" headerRowCount="0" ref="B5:G17" displayName="Table_25" name="Table_25" id="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c 1 Credit Analysis -style" showColumnStripes="0" showFirstColumn="1" showLastColumn="1" showRowStripes="1"/>
</table>
</file>

<file path=xl/tables/table26.xml><?xml version="1.0" encoding="utf-8"?>
<table xmlns="http://schemas.openxmlformats.org/spreadsheetml/2006/main" headerRowCount="0" ref="B18:G126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c 1 Credit Analysis -style 2" showColumnStripes="0" showFirstColumn="1" showLastColumn="1" showRowStripes="1"/>
</table>
</file>

<file path=xl/tables/table27.xml><?xml version="1.0" encoding="utf-8"?>
<table xmlns="http://schemas.openxmlformats.org/spreadsheetml/2006/main" headerRowCount="0" ref="B5:G16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c 2 Credit Analysis  -style" showColumnStripes="0" showFirstColumn="1" showLastColumn="1" showRowStripes="1"/>
</table>
</file>

<file path=xl/tables/table28.xml><?xml version="1.0" encoding="utf-8"?>
<table xmlns="http://schemas.openxmlformats.org/spreadsheetml/2006/main" headerRowCount="0" ref="B17:G195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c 2 Credit Analysis  -style 2" showColumnStripes="0" showFirstColumn="1" showLastColumn="1" showRowStripes="1"/>
</table>
</file>

<file path=xl/tables/table29.xml><?xml version="1.0" encoding="utf-8"?>
<table xmlns="http://schemas.openxmlformats.org/spreadsheetml/2006/main" headerRowCount="0" ref="B5:G12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c 3 Credit Analysis-style" showColumnStripes="0" showFirstColumn="1" showLastColumn="1" showRowStripes="1"/>
</table>
</file>

<file path=xl/tables/table30.xml><?xml version="1.0" encoding="utf-8"?>
<table xmlns="http://schemas.openxmlformats.org/spreadsheetml/2006/main" headerRowCount="0" ref="B13:G94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c 3 Credit Analysis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6" width="32.63"/>
    <col customWidth="1" min="7" max="7" width="24.63"/>
  </cols>
  <sheetData>
    <row r="1" ht="70.5" customHeight="1">
      <c r="A1" s="1"/>
      <c r="B1" s="2" t="s">
        <v>0</v>
      </c>
      <c r="G1" s="2">
        <v>2025.0</v>
      </c>
    </row>
    <row r="2" ht="12.0" customHeight="1">
      <c r="A2" s="1"/>
      <c r="B2" s="3"/>
      <c r="C2" s="3"/>
      <c r="D2" s="3"/>
      <c r="E2" s="3"/>
      <c r="F2" s="3"/>
      <c r="G2" s="3"/>
    </row>
    <row r="3" ht="30.0" customHeight="1">
      <c r="A3" s="4"/>
      <c r="B3" s="5"/>
    </row>
    <row r="4" ht="24.0" customHeight="1">
      <c r="A4" s="6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ht="21.0" customHeight="1">
      <c r="A5" s="8"/>
      <c r="B5" s="9">
        <v>2020.0</v>
      </c>
      <c r="C5" s="10">
        <v>7461500.0</v>
      </c>
      <c r="D5" s="10">
        <v>290322.0</v>
      </c>
      <c r="E5" s="10">
        <v>290723.0</v>
      </c>
      <c r="F5" s="10">
        <v>9096748.0</v>
      </c>
      <c r="G5" s="10">
        <f>sum(C4:F5)</f>
        <v>17139293</v>
      </c>
    </row>
    <row r="6" ht="21.0" customHeight="1">
      <c r="A6" s="8"/>
      <c r="B6" s="9">
        <v>2021.0</v>
      </c>
      <c r="C6" s="10">
        <v>5560700.0</v>
      </c>
      <c r="D6" s="10">
        <v>208086.0</v>
      </c>
      <c r="E6" s="10">
        <v>303000.0</v>
      </c>
      <c r="F6" s="10">
        <v>1.0355561E7</v>
      </c>
      <c r="G6" s="11">
        <f t="shared" ref="G6:G10" si="1">sum(C6:F6)</f>
        <v>16427347</v>
      </c>
    </row>
    <row r="7" ht="21.0" customHeight="1">
      <c r="A7" s="8"/>
      <c r="B7" s="9">
        <v>2022.0</v>
      </c>
      <c r="C7" s="10">
        <v>6652000.0</v>
      </c>
      <c r="D7" s="12">
        <v>251129.0</v>
      </c>
      <c r="E7" s="12">
        <v>466000.0</v>
      </c>
      <c r="F7" s="12">
        <v>9761716.0</v>
      </c>
      <c r="G7" s="11">
        <f t="shared" si="1"/>
        <v>17130845</v>
      </c>
    </row>
    <row r="8" ht="21.0" customHeight="1">
      <c r="A8" s="8"/>
      <c r="B8" s="9">
        <v>2023.0</v>
      </c>
      <c r="C8" s="10">
        <v>1.2792738E7</v>
      </c>
      <c r="D8" s="13">
        <v>333421.0</v>
      </c>
      <c r="E8" s="13">
        <v>848000.0</v>
      </c>
      <c r="F8" s="10">
        <v>1.2696696E7</v>
      </c>
      <c r="G8" s="11">
        <f t="shared" si="1"/>
        <v>26670855</v>
      </c>
    </row>
    <row r="9" ht="21.0" customHeight="1">
      <c r="A9" s="8"/>
      <c r="B9" s="9">
        <v>2024.0</v>
      </c>
      <c r="C9" s="10">
        <v>1.5419527E7</v>
      </c>
      <c r="D9" s="10">
        <v>560906.0</v>
      </c>
      <c r="E9" s="10">
        <v>1157820.0</v>
      </c>
      <c r="F9" s="10">
        <v>8768636.0</v>
      </c>
      <c r="G9" s="11">
        <f t="shared" si="1"/>
        <v>25906889</v>
      </c>
    </row>
    <row r="10" ht="21.0" customHeight="1">
      <c r="A10" s="8"/>
      <c r="B10" s="9">
        <v>2025.0</v>
      </c>
      <c r="C10" s="10">
        <v>7065420.0</v>
      </c>
      <c r="D10" s="10">
        <v>238421.0</v>
      </c>
      <c r="E10" s="10">
        <v>460500.0</v>
      </c>
      <c r="F10" s="10">
        <v>2150340.0</v>
      </c>
      <c r="G10" s="11">
        <f t="shared" si="1"/>
        <v>9914681</v>
      </c>
    </row>
    <row r="11" ht="21.0" customHeight="1">
      <c r="A11" s="8"/>
      <c r="B11" s="14"/>
      <c r="C11" s="10"/>
      <c r="D11" s="10"/>
      <c r="E11" s="10"/>
      <c r="F11" s="10"/>
      <c r="G11" s="11"/>
    </row>
    <row r="12" ht="19.5" customHeight="1">
      <c r="A12" s="15"/>
      <c r="B12" s="16" t="s">
        <v>7</v>
      </c>
      <c r="C12" s="11">
        <f t="shared" ref="C12:F12" si="2">sum(C5:C10)</f>
        <v>54951885</v>
      </c>
      <c r="D12" s="11">
        <f t="shared" si="2"/>
        <v>1882285</v>
      </c>
      <c r="E12" s="11">
        <f t="shared" si="2"/>
        <v>3526043</v>
      </c>
      <c r="F12" s="11">
        <f t="shared" si="2"/>
        <v>52829697</v>
      </c>
      <c r="G12" s="11">
        <f>sum(C12:F12)</f>
        <v>113189910</v>
      </c>
    </row>
  </sheetData>
  <mergeCells count="2">
    <mergeCell ref="B1:F1"/>
    <mergeCell ref="B3:G3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</cols>
  <sheetData>
    <row r="1" ht="70.5" customHeight="1">
      <c r="A1" s="1"/>
      <c r="B1" s="2" t="s">
        <v>0</v>
      </c>
    </row>
    <row r="2" ht="12.0" customHeight="1">
      <c r="A2" s="17"/>
      <c r="B2" s="18"/>
      <c r="C2" s="18"/>
      <c r="D2" s="18"/>
    </row>
    <row r="3" ht="30.0" customHeight="1">
      <c r="A3" s="19"/>
      <c r="B3" s="20"/>
    </row>
    <row r="4" ht="24.0" customHeight="1">
      <c r="A4" s="21"/>
      <c r="B4" s="22" t="s">
        <v>8</v>
      </c>
      <c r="C4" s="22" t="s">
        <v>9</v>
      </c>
      <c r="D4" s="22" t="s">
        <v>10</v>
      </c>
    </row>
    <row r="5" ht="21.0" customHeight="1">
      <c r="A5" s="23"/>
      <c r="B5" s="24" t="s">
        <v>11</v>
      </c>
      <c r="C5" s="10" t="s">
        <v>12</v>
      </c>
      <c r="D5" s="10">
        <v>1160500.0</v>
      </c>
    </row>
    <row r="6" ht="21.0" customHeight="1">
      <c r="A6" s="23"/>
      <c r="B6" s="24"/>
      <c r="C6" s="10" t="s">
        <v>13</v>
      </c>
      <c r="D6" s="10">
        <v>1486527.0</v>
      </c>
    </row>
    <row r="7" ht="21.0" customHeight="1">
      <c r="A7" s="23"/>
      <c r="B7" s="24"/>
      <c r="C7" s="10" t="s">
        <v>14</v>
      </c>
      <c r="D7" s="10">
        <v>877500.0</v>
      </c>
    </row>
    <row r="8" ht="21.0" customHeight="1">
      <c r="A8" s="23"/>
      <c r="B8" s="24"/>
      <c r="C8" s="10" t="s">
        <v>15</v>
      </c>
      <c r="D8" s="10">
        <v>1014500.0</v>
      </c>
    </row>
    <row r="9" ht="21.0" customHeight="1">
      <c r="A9" s="23"/>
      <c r="B9" s="24"/>
      <c r="C9" s="10" t="s">
        <v>16</v>
      </c>
      <c r="D9" s="10">
        <v>1022000.0</v>
      </c>
    </row>
    <row r="10" ht="21.0" customHeight="1">
      <c r="A10" s="23"/>
      <c r="B10" s="24"/>
      <c r="C10" s="10" t="s">
        <v>17</v>
      </c>
      <c r="D10" s="10">
        <v>1228500.0</v>
      </c>
    </row>
    <row r="11" ht="21.0" customHeight="1">
      <c r="A11" s="23"/>
      <c r="B11" s="24"/>
      <c r="C11" s="10" t="s">
        <v>18</v>
      </c>
      <c r="D11" s="10">
        <v>1316500.0</v>
      </c>
    </row>
    <row r="12" ht="21.0" customHeight="1">
      <c r="A12" s="23"/>
      <c r="B12" s="24"/>
      <c r="C12" s="10" t="s">
        <v>19</v>
      </c>
      <c r="D12" s="10">
        <v>1427000.0</v>
      </c>
    </row>
    <row r="13" ht="19.5" customHeight="1">
      <c r="A13" s="23"/>
      <c r="B13" s="24"/>
      <c r="C13" s="10" t="s">
        <v>20</v>
      </c>
      <c r="D13" s="10">
        <v>1467500.0</v>
      </c>
    </row>
    <row r="14" ht="19.5" customHeight="1">
      <c r="A14" s="23"/>
      <c r="B14" s="24"/>
      <c r="C14" s="10" t="s">
        <v>21</v>
      </c>
      <c r="D14" s="10">
        <v>1455500.0</v>
      </c>
    </row>
    <row r="15" ht="19.5" customHeight="1">
      <c r="A15" s="23"/>
      <c r="B15" s="24"/>
      <c r="C15" s="10" t="s">
        <v>22</v>
      </c>
      <c r="D15" s="10">
        <v>1405000.0</v>
      </c>
    </row>
    <row r="16" ht="19.5" customHeight="1">
      <c r="A16" s="23"/>
      <c r="B16" s="24"/>
      <c r="C16" s="10" t="s">
        <v>23</v>
      </c>
      <c r="D16" s="10">
        <v>1558500.0</v>
      </c>
    </row>
    <row r="17" ht="19.5" customHeight="1">
      <c r="A17" s="23"/>
      <c r="B17" s="25" t="s">
        <v>24</v>
      </c>
      <c r="C17" s="10"/>
      <c r="D17" s="10">
        <f>SUM(D5:D16)</f>
        <v>15419527</v>
      </c>
    </row>
  </sheetData>
  <mergeCells count="2">
    <mergeCell ref="B1:D1"/>
    <mergeCell ref="B3:D3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7" width="32.63"/>
    <col customWidth="1" min="8" max="8" width="24.63"/>
  </cols>
  <sheetData>
    <row r="1" ht="70.5" customHeight="1">
      <c r="A1" s="26"/>
      <c r="B1" s="2" t="s">
        <v>0</v>
      </c>
      <c r="G1" s="2"/>
      <c r="H1" s="2">
        <v>2023.0</v>
      </c>
    </row>
    <row r="2" ht="12.0" customHeight="1">
      <c r="A2" s="27"/>
      <c r="B2" s="18"/>
      <c r="C2" s="18"/>
      <c r="D2" s="18"/>
      <c r="E2" s="18"/>
      <c r="F2" s="18"/>
      <c r="G2" s="18"/>
      <c r="H2" s="18"/>
    </row>
    <row r="3" ht="30.0" customHeight="1">
      <c r="A3" s="28"/>
      <c r="B3" s="20"/>
    </row>
    <row r="4" ht="24.0" customHeight="1">
      <c r="A4" s="29"/>
      <c r="B4" s="30">
        <v>2023.0</v>
      </c>
      <c r="C4" s="22" t="s">
        <v>9</v>
      </c>
      <c r="D4" s="22" t="s">
        <v>10</v>
      </c>
      <c r="E4" s="22"/>
      <c r="F4" s="22"/>
      <c r="G4" s="22"/>
      <c r="H4" s="22"/>
    </row>
    <row r="5" ht="21.0" customHeight="1">
      <c r="A5" s="31"/>
      <c r="B5" s="24"/>
      <c r="C5" s="10" t="s">
        <v>12</v>
      </c>
      <c r="D5" s="13">
        <v>492000.0</v>
      </c>
      <c r="E5" s="13"/>
      <c r="F5" s="13"/>
      <c r="G5" s="13"/>
      <c r="H5" s="13"/>
    </row>
    <row r="6" ht="21.0" customHeight="1">
      <c r="A6" s="31"/>
      <c r="B6" s="24"/>
      <c r="C6" s="10" t="s">
        <v>13</v>
      </c>
      <c r="D6" s="13">
        <v>868000.0</v>
      </c>
      <c r="E6" s="13"/>
      <c r="F6" s="13"/>
      <c r="G6" s="13"/>
      <c r="H6" s="13"/>
    </row>
    <row r="7" ht="21.0" customHeight="1">
      <c r="A7" s="31"/>
      <c r="B7" s="24"/>
      <c r="C7" s="10" t="s">
        <v>14</v>
      </c>
      <c r="D7" s="13">
        <v>940000.0</v>
      </c>
      <c r="E7" s="13"/>
      <c r="F7" s="13"/>
      <c r="G7" s="13"/>
      <c r="H7" s="13"/>
    </row>
    <row r="8" ht="21.0" customHeight="1">
      <c r="A8" s="31"/>
      <c r="B8" s="24"/>
      <c r="C8" s="10" t="s">
        <v>15</v>
      </c>
      <c r="D8" s="13">
        <v>1079500.0</v>
      </c>
      <c r="E8" s="13"/>
      <c r="F8" s="32"/>
      <c r="G8" s="32"/>
      <c r="H8" s="13"/>
    </row>
    <row r="9" ht="21.0" customHeight="1">
      <c r="A9" s="31"/>
      <c r="B9" s="24"/>
      <c r="C9" s="10" t="s">
        <v>16</v>
      </c>
      <c r="D9" s="13">
        <v>1012500.0</v>
      </c>
      <c r="E9" s="13"/>
      <c r="F9" s="13"/>
      <c r="G9" s="13"/>
      <c r="H9" s="13"/>
    </row>
    <row r="10" ht="21.0" customHeight="1">
      <c r="A10" s="31"/>
      <c r="B10" s="24"/>
      <c r="C10" s="10" t="s">
        <v>17</v>
      </c>
      <c r="D10" s="13">
        <v>589000.0</v>
      </c>
      <c r="E10" s="13"/>
      <c r="F10" s="13"/>
      <c r="G10" s="13"/>
      <c r="H10" s="13"/>
    </row>
    <row r="11" ht="21.0" customHeight="1">
      <c r="A11" s="31"/>
      <c r="B11" s="24"/>
      <c r="C11" s="10" t="s">
        <v>18</v>
      </c>
      <c r="D11" s="13">
        <v>909500.0</v>
      </c>
      <c r="E11" s="13"/>
      <c r="F11" s="10"/>
      <c r="G11" s="10"/>
      <c r="H11" s="13"/>
    </row>
    <row r="12" ht="21.0" customHeight="1">
      <c r="A12" s="31"/>
      <c r="B12" s="24"/>
      <c r="C12" s="10" t="s">
        <v>19</v>
      </c>
      <c r="D12" s="13">
        <v>1783000.0</v>
      </c>
      <c r="E12" s="13"/>
      <c r="F12" s="13"/>
      <c r="G12" s="10"/>
      <c r="H12" s="13"/>
    </row>
    <row r="13" ht="19.5" customHeight="1">
      <c r="A13" s="31"/>
      <c r="B13" s="24"/>
      <c r="C13" s="10" t="s">
        <v>20</v>
      </c>
      <c r="D13" s="10">
        <v>1394738.0</v>
      </c>
      <c r="E13" s="10"/>
      <c r="F13" s="10"/>
      <c r="G13" s="32"/>
      <c r="H13" s="13"/>
    </row>
    <row r="14" ht="19.5" customHeight="1">
      <c r="A14" s="31"/>
      <c r="B14" s="24"/>
      <c r="C14" s="10" t="s">
        <v>21</v>
      </c>
      <c r="D14" s="13">
        <v>1296000.0</v>
      </c>
      <c r="E14" s="13"/>
      <c r="F14" s="13"/>
      <c r="G14" s="13"/>
      <c r="H14" s="13"/>
    </row>
    <row r="15" ht="19.5" customHeight="1">
      <c r="A15" s="31"/>
      <c r="B15" s="24"/>
      <c r="C15" s="10" t="s">
        <v>22</v>
      </c>
      <c r="D15" s="13">
        <v>1222500.0</v>
      </c>
      <c r="E15" s="13"/>
      <c r="F15" s="13"/>
      <c r="G15" s="13"/>
      <c r="H15" s="13"/>
    </row>
    <row r="16" ht="19.5" customHeight="1">
      <c r="A16" s="31"/>
      <c r="B16" s="24"/>
      <c r="C16" s="10" t="s">
        <v>23</v>
      </c>
      <c r="D16" s="13">
        <v>1314500.0</v>
      </c>
      <c r="E16" s="13"/>
      <c r="F16" s="32"/>
      <c r="G16" s="32"/>
      <c r="H16" s="13"/>
    </row>
    <row r="17" ht="19.5" customHeight="1">
      <c r="A17" s="31"/>
      <c r="B17" s="25" t="s">
        <v>24</v>
      </c>
      <c r="C17" s="10"/>
      <c r="D17" s="13">
        <f>SUM(D5:D16)</f>
        <v>12901238</v>
      </c>
      <c r="E17" s="10"/>
      <c r="F17" s="10"/>
      <c r="G17" s="10"/>
      <c r="H17" s="10"/>
    </row>
  </sheetData>
  <mergeCells count="2">
    <mergeCell ref="B1:F1"/>
    <mergeCell ref="B3:H3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</cols>
  <sheetData>
    <row r="1" ht="70.5" customHeight="1">
      <c r="A1" s="33" t="s">
        <v>25</v>
      </c>
      <c r="B1" s="34" t="s">
        <v>0</v>
      </c>
    </row>
    <row r="2" ht="12.0" customHeight="1">
      <c r="A2" s="27"/>
      <c r="B2" s="18"/>
      <c r="C2" s="18"/>
      <c r="D2" s="18"/>
    </row>
    <row r="3" ht="30.0" customHeight="1">
      <c r="A3" s="28"/>
      <c r="B3" s="20"/>
    </row>
    <row r="4" ht="24.0" customHeight="1">
      <c r="A4" s="29"/>
      <c r="B4" s="30">
        <v>2022.0</v>
      </c>
      <c r="C4" s="22" t="s">
        <v>9</v>
      </c>
      <c r="D4" s="22" t="s">
        <v>10</v>
      </c>
    </row>
    <row r="5" ht="21.0" customHeight="1">
      <c r="A5" s="31"/>
      <c r="B5" s="24"/>
      <c r="C5" s="10" t="s">
        <v>12</v>
      </c>
      <c r="D5" s="13">
        <v>458000.0</v>
      </c>
    </row>
    <row r="6" ht="21.0" customHeight="1">
      <c r="A6" s="31"/>
      <c r="B6" s="24"/>
      <c r="C6" s="10" t="s">
        <v>13</v>
      </c>
      <c r="D6" s="13">
        <v>474000.0</v>
      </c>
    </row>
    <row r="7" ht="21.0" customHeight="1">
      <c r="A7" s="31"/>
      <c r="B7" s="24"/>
      <c r="C7" s="10" t="s">
        <v>14</v>
      </c>
      <c r="D7" s="13">
        <v>493000.0</v>
      </c>
    </row>
    <row r="8" ht="21.0" customHeight="1">
      <c r="A8" s="31"/>
      <c r="B8" s="24"/>
      <c r="C8" s="10" t="s">
        <v>15</v>
      </c>
      <c r="D8" s="13">
        <v>598500.0</v>
      </c>
    </row>
    <row r="9" ht="21.0" customHeight="1">
      <c r="A9" s="31"/>
      <c r="B9" s="24"/>
      <c r="C9" s="10" t="s">
        <v>16</v>
      </c>
      <c r="D9" s="13">
        <v>469500.0</v>
      </c>
    </row>
    <row r="10" ht="21.0" customHeight="1">
      <c r="A10" s="31"/>
      <c r="B10" s="24"/>
      <c r="C10" s="10" t="s">
        <v>17</v>
      </c>
      <c r="D10" s="13">
        <v>259000.0</v>
      </c>
    </row>
    <row r="11" ht="21.0" customHeight="1">
      <c r="A11" s="31"/>
      <c r="B11" s="24"/>
      <c r="C11" s="10" t="s">
        <v>18</v>
      </c>
      <c r="D11" s="13">
        <v>463500.0</v>
      </c>
    </row>
    <row r="12" ht="21.0" customHeight="1">
      <c r="A12" s="31"/>
      <c r="B12" s="24"/>
      <c r="C12" s="10" t="s">
        <v>19</v>
      </c>
      <c r="D12" s="13">
        <v>500500.0</v>
      </c>
    </row>
    <row r="13" ht="19.5" customHeight="1">
      <c r="A13" s="31"/>
      <c r="B13" s="24"/>
      <c r="C13" s="10" t="s">
        <v>20</v>
      </c>
      <c r="D13" s="13">
        <v>654000.0</v>
      </c>
    </row>
    <row r="14" ht="19.5" customHeight="1">
      <c r="A14" s="31"/>
      <c r="B14" s="24"/>
      <c r="C14" s="10" t="s">
        <v>21</v>
      </c>
      <c r="D14" s="13">
        <v>831000.0</v>
      </c>
    </row>
    <row r="15" ht="19.5" customHeight="1">
      <c r="A15" s="31"/>
      <c r="B15" s="24"/>
      <c r="C15" s="10" t="s">
        <v>22</v>
      </c>
      <c r="D15" s="13">
        <v>597500.0</v>
      </c>
    </row>
    <row r="16" ht="19.5" customHeight="1">
      <c r="A16" s="31"/>
      <c r="B16" s="24"/>
      <c r="C16" s="10" t="s">
        <v>23</v>
      </c>
      <c r="D16" s="13">
        <v>558000.0</v>
      </c>
    </row>
    <row r="17" ht="19.5" customHeight="1">
      <c r="A17" s="31"/>
      <c r="B17" s="25" t="s">
        <v>24</v>
      </c>
      <c r="C17" s="10"/>
      <c r="D17" s="13">
        <f>SUM(D5:D16)</f>
        <v>6356500</v>
      </c>
    </row>
  </sheetData>
  <mergeCells count="2">
    <mergeCell ref="B1:D1"/>
    <mergeCell ref="B3:D3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</cols>
  <sheetData>
    <row r="1" ht="70.5" customHeight="1">
      <c r="A1" s="17"/>
      <c r="B1" s="34" t="s">
        <v>0</v>
      </c>
    </row>
    <row r="2" ht="12.0" customHeight="1">
      <c r="A2" s="17"/>
      <c r="B2" s="18"/>
      <c r="C2" s="18"/>
      <c r="D2" s="18"/>
    </row>
    <row r="3" ht="30.0" customHeight="1">
      <c r="A3" s="19"/>
      <c r="B3" s="20"/>
    </row>
    <row r="4" ht="24.0" customHeight="1">
      <c r="A4" s="21"/>
      <c r="B4" s="22" t="s">
        <v>8</v>
      </c>
      <c r="C4" s="22" t="s">
        <v>9</v>
      </c>
      <c r="D4" s="22" t="s">
        <v>10</v>
      </c>
    </row>
    <row r="5" ht="21.0" customHeight="1">
      <c r="A5" s="23"/>
      <c r="B5" s="24" t="s">
        <v>26</v>
      </c>
      <c r="C5" s="10" t="s">
        <v>12</v>
      </c>
      <c r="D5" s="13">
        <v>285500.0</v>
      </c>
    </row>
    <row r="6" ht="21.0" customHeight="1">
      <c r="A6" s="23"/>
      <c r="B6" s="24"/>
      <c r="C6" s="10" t="s">
        <v>13</v>
      </c>
      <c r="D6" s="13">
        <v>482500.0</v>
      </c>
    </row>
    <row r="7" ht="21.0" customHeight="1">
      <c r="A7" s="23"/>
      <c r="B7" s="24"/>
      <c r="C7" s="10" t="s">
        <v>14</v>
      </c>
      <c r="D7" s="13">
        <v>503000.0</v>
      </c>
    </row>
    <row r="8" ht="21.0" customHeight="1">
      <c r="A8" s="23"/>
      <c r="B8" s="24"/>
      <c r="C8" s="10" t="s">
        <v>15</v>
      </c>
      <c r="D8" s="13">
        <v>603200.0</v>
      </c>
    </row>
    <row r="9" ht="21.0" customHeight="1">
      <c r="A9" s="23"/>
      <c r="B9" s="24"/>
      <c r="C9" s="10" t="s">
        <v>16</v>
      </c>
      <c r="D9" s="13">
        <v>382000.0</v>
      </c>
    </row>
    <row r="10" ht="21.0" customHeight="1">
      <c r="A10" s="23"/>
      <c r="B10" s="24"/>
      <c r="C10" s="10" t="s">
        <v>17</v>
      </c>
      <c r="D10" s="13">
        <v>601500.0</v>
      </c>
    </row>
    <row r="11" ht="21.0" customHeight="1">
      <c r="A11" s="23"/>
      <c r="B11" s="24"/>
      <c r="C11" s="10" t="s">
        <v>18</v>
      </c>
      <c r="D11" s="13">
        <v>394500.0</v>
      </c>
    </row>
    <row r="12" ht="21.0" customHeight="1">
      <c r="A12" s="23"/>
      <c r="B12" s="24"/>
      <c r="C12" s="10" t="s">
        <v>19</v>
      </c>
      <c r="D12" s="13">
        <v>398500.0</v>
      </c>
    </row>
    <row r="13" ht="19.5" customHeight="1">
      <c r="A13" s="23"/>
      <c r="B13" s="24"/>
      <c r="C13" s="10" t="s">
        <v>20</v>
      </c>
      <c r="D13" s="13">
        <v>520000.0</v>
      </c>
    </row>
    <row r="14" ht="19.5" customHeight="1">
      <c r="A14" s="23"/>
      <c r="B14" s="24"/>
      <c r="C14" s="10" t="s">
        <v>21</v>
      </c>
      <c r="D14" s="13">
        <v>421000.0</v>
      </c>
    </row>
    <row r="15" ht="19.5" customHeight="1">
      <c r="A15" s="23"/>
      <c r="B15" s="24"/>
      <c r="C15" s="10" t="s">
        <v>22</v>
      </c>
      <c r="D15" s="13">
        <v>414000.0</v>
      </c>
    </row>
    <row r="16" ht="19.5" customHeight="1">
      <c r="A16" s="23"/>
      <c r="B16" s="24"/>
      <c r="C16" s="10" t="s">
        <v>23</v>
      </c>
      <c r="D16" s="13">
        <v>556000.0</v>
      </c>
    </row>
    <row r="17" ht="19.5" customHeight="1">
      <c r="A17" s="23"/>
      <c r="B17" s="25" t="s">
        <v>24</v>
      </c>
      <c r="C17" s="10"/>
      <c r="D17" s="13">
        <f>sum(D5:D16)</f>
        <v>5561700</v>
      </c>
    </row>
  </sheetData>
  <mergeCells count="2">
    <mergeCell ref="B1:D1"/>
    <mergeCell ref="B3:D3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</cols>
  <sheetData>
    <row r="1" ht="70.5" customHeight="1">
      <c r="A1" s="17"/>
      <c r="B1" s="34" t="s">
        <v>0</v>
      </c>
    </row>
    <row r="2" ht="12.0" customHeight="1">
      <c r="A2" s="17"/>
      <c r="B2" s="18"/>
      <c r="C2" s="18"/>
      <c r="D2" s="18"/>
    </row>
    <row r="3" ht="30.0" customHeight="1">
      <c r="A3" s="19"/>
      <c r="B3" s="20"/>
    </row>
    <row r="4" ht="24.0" customHeight="1">
      <c r="A4" s="21"/>
      <c r="B4" s="22" t="s">
        <v>8</v>
      </c>
      <c r="C4" s="22" t="s">
        <v>9</v>
      </c>
      <c r="D4" s="22" t="s">
        <v>10</v>
      </c>
    </row>
    <row r="5" ht="21.0" customHeight="1">
      <c r="A5" s="23"/>
      <c r="B5" s="24" t="s">
        <v>27</v>
      </c>
      <c r="C5" s="10" t="s">
        <v>12</v>
      </c>
      <c r="D5" s="13">
        <v>491000.0</v>
      </c>
    </row>
    <row r="6" ht="21.0" customHeight="1">
      <c r="A6" s="23"/>
      <c r="B6" s="24"/>
      <c r="C6" s="10" t="s">
        <v>13</v>
      </c>
      <c r="D6" s="13">
        <v>1090000.0</v>
      </c>
    </row>
    <row r="7" ht="21.0" customHeight="1">
      <c r="A7" s="23"/>
      <c r="B7" s="24"/>
      <c r="C7" s="10" t="s">
        <v>14</v>
      </c>
      <c r="D7" s="13">
        <v>708000.0</v>
      </c>
    </row>
    <row r="8" ht="21.0" customHeight="1">
      <c r="A8" s="23"/>
      <c r="B8" s="24"/>
      <c r="C8" s="10" t="s">
        <v>15</v>
      </c>
      <c r="D8" s="13">
        <v>571000.0</v>
      </c>
    </row>
    <row r="9" ht="21.0" customHeight="1">
      <c r="A9" s="23"/>
      <c r="B9" s="24"/>
      <c r="C9" s="10" t="s">
        <v>16</v>
      </c>
      <c r="D9" s="13">
        <v>858000.0</v>
      </c>
    </row>
    <row r="10" ht="21.0" customHeight="1">
      <c r="A10" s="23"/>
      <c r="B10" s="24"/>
      <c r="C10" s="10" t="s">
        <v>17</v>
      </c>
      <c r="D10" s="13">
        <v>598000.0</v>
      </c>
    </row>
    <row r="11" ht="21.0" customHeight="1">
      <c r="A11" s="23"/>
      <c r="B11" s="24"/>
      <c r="C11" s="10" t="s">
        <v>18</v>
      </c>
      <c r="D11" s="13">
        <v>632500.0</v>
      </c>
    </row>
    <row r="12" ht="21.0" customHeight="1">
      <c r="A12" s="23"/>
      <c r="B12" s="24"/>
      <c r="C12" s="10" t="s">
        <v>19</v>
      </c>
      <c r="D12" s="13">
        <v>580000.0</v>
      </c>
    </row>
    <row r="13" ht="19.5" customHeight="1">
      <c r="A13" s="23"/>
      <c r="B13" s="24"/>
      <c r="C13" s="10" t="s">
        <v>20</v>
      </c>
      <c r="D13" s="13">
        <v>556000.0</v>
      </c>
    </row>
    <row r="14" ht="19.5" customHeight="1">
      <c r="A14" s="23"/>
      <c r="B14" s="24"/>
      <c r="C14" s="10" t="s">
        <v>21</v>
      </c>
      <c r="D14" s="13">
        <v>629000.0</v>
      </c>
    </row>
    <row r="15" ht="19.5" customHeight="1">
      <c r="A15" s="23"/>
      <c r="B15" s="24"/>
      <c r="C15" s="10" t="s">
        <v>22</v>
      </c>
      <c r="D15" s="13">
        <v>353000.0</v>
      </c>
    </row>
    <row r="16" ht="19.5" customHeight="1">
      <c r="A16" s="23"/>
      <c r="B16" s="24"/>
      <c r="C16" s="10" t="s">
        <v>23</v>
      </c>
      <c r="D16" s="35">
        <v>394000.0</v>
      </c>
    </row>
    <row r="17" ht="19.5" customHeight="1">
      <c r="A17" s="23"/>
      <c r="B17" s="25" t="s">
        <v>24</v>
      </c>
      <c r="C17" s="10"/>
      <c r="D17" s="13">
        <f>sum(D5:D16)</f>
        <v>7460500</v>
      </c>
    </row>
  </sheetData>
  <mergeCells count="2">
    <mergeCell ref="B1:D1"/>
    <mergeCell ref="B3:D3"/>
  </mergeCell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7" width="32.63"/>
    <col customWidth="1" min="8" max="8" width="24.63"/>
  </cols>
  <sheetData>
    <row r="1" ht="70.5" customHeight="1">
      <c r="A1" s="1"/>
      <c r="B1" s="2" t="s">
        <v>0</v>
      </c>
      <c r="G1" s="2"/>
      <c r="H1" s="2">
        <v>2025.0</v>
      </c>
    </row>
    <row r="2" ht="12.0" customHeight="1">
      <c r="A2" s="1"/>
      <c r="B2" s="3"/>
      <c r="C2" s="3"/>
      <c r="D2" s="3"/>
      <c r="E2" s="3"/>
      <c r="F2" s="3"/>
      <c r="G2" s="3"/>
      <c r="H2" s="3"/>
    </row>
    <row r="3" ht="30.0" customHeight="1">
      <c r="A3" s="4"/>
      <c r="B3" s="5"/>
    </row>
    <row r="4" ht="24.0" customHeight="1">
      <c r="A4" s="6"/>
      <c r="B4" s="7" t="s">
        <v>8</v>
      </c>
      <c r="C4" s="7" t="s">
        <v>9</v>
      </c>
      <c r="D4" s="7" t="s">
        <v>10</v>
      </c>
      <c r="E4" s="7" t="s">
        <v>28</v>
      </c>
      <c r="F4" s="7" t="s">
        <v>29</v>
      </c>
      <c r="G4" s="7" t="s">
        <v>30</v>
      </c>
      <c r="H4" s="7" t="s">
        <v>6</v>
      </c>
    </row>
    <row r="5" ht="21.0" customHeight="1">
      <c r="A5" s="8"/>
      <c r="B5" s="14" t="s">
        <v>31</v>
      </c>
      <c r="C5" s="10" t="s">
        <v>12</v>
      </c>
      <c r="D5" s="10">
        <v>401020.0</v>
      </c>
      <c r="E5" s="10">
        <v>0.0</v>
      </c>
      <c r="F5" s="10">
        <v>14570.0</v>
      </c>
      <c r="G5" s="10">
        <v>330494.0</v>
      </c>
      <c r="H5" s="10">
        <f t="shared" ref="H5:H9" si="1">SUM(D5:F5)</f>
        <v>415590</v>
      </c>
    </row>
    <row r="6" ht="21.0" customHeight="1">
      <c r="A6" s="8"/>
      <c r="B6" s="14"/>
      <c r="C6" s="10" t="s">
        <v>13</v>
      </c>
      <c r="D6" s="10">
        <v>512000.0</v>
      </c>
      <c r="E6" s="10">
        <v>10000.0</v>
      </c>
      <c r="F6" s="10">
        <v>12000.0</v>
      </c>
      <c r="G6" s="10">
        <v>200000.0</v>
      </c>
      <c r="H6" s="10">
        <f t="shared" si="1"/>
        <v>534000</v>
      </c>
    </row>
    <row r="7" ht="21.0" customHeight="1">
      <c r="A7" s="8"/>
      <c r="B7" s="14"/>
      <c r="C7" s="10" t="s">
        <v>14</v>
      </c>
      <c r="D7" s="12">
        <v>359900.0</v>
      </c>
      <c r="E7" s="12">
        <v>10000.0</v>
      </c>
      <c r="F7" s="12">
        <v>28400.0</v>
      </c>
      <c r="G7" s="12">
        <v>320000.0</v>
      </c>
      <c r="H7" s="10">
        <f t="shared" si="1"/>
        <v>398300</v>
      </c>
    </row>
    <row r="8" ht="21.0" customHeight="1">
      <c r="A8" s="8"/>
      <c r="B8" s="14"/>
      <c r="C8" s="10" t="s">
        <v>15</v>
      </c>
      <c r="D8" s="13">
        <v>380000.0</v>
      </c>
      <c r="E8" s="13">
        <v>10000.0</v>
      </c>
      <c r="F8" s="10">
        <v>6940.0</v>
      </c>
      <c r="G8" s="13">
        <v>366564.0</v>
      </c>
      <c r="H8" s="13">
        <f t="shared" si="1"/>
        <v>396940</v>
      </c>
    </row>
    <row r="9" ht="21.0" customHeight="1">
      <c r="A9" s="8"/>
      <c r="B9" s="14"/>
      <c r="C9" s="10" t="s">
        <v>16</v>
      </c>
      <c r="D9" s="10">
        <v>508000.0</v>
      </c>
      <c r="E9" s="10">
        <v>0.0</v>
      </c>
      <c r="F9" s="10">
        <v>12900.0</v>
      </c>
      <c r="G9" s="10">
        <v>433282.0</v>
      </c>
      <c r="H9" s="10">
        <f t="shared" si="1"/>
        <v>520900</v>
      </c>
    </row>
    <row r="10" ht="21.0" customHeight="1">
      <c r="A10" s="8"/>
      <c r="B10" s="14"/>
      <c r="C10" s="10" t="s">
        <v>17</v>
      </c>
      <c r="D10" s="10"/>
      <c r="E10" s="10"/>
      <c r="F10" s="10"/>
      <c r="G10" s="10"/>
      <c r="H10" s="10"/>
    </row>
    <row r="11" ht="21.0" customHeight="1">
      <c r="A11" s="8"/>
      <c r="B11" s="14"/>
      <c r="C11" s="10" t="s">
        <v>18</v>
      </c>
      <c r="D11" s="10"/>
      <c r="E11" s="10"/>
      <c r="F11" s="10"/>
      <c r="G11" s="10"/>
      <c r="H11" s="10"/>
    </row>
    <row r="12" ht="21.0" customHeight="1">
      <c r="A12" s="8"/>
      <c r="B12" s="14"/>
      <c r="C12" s="10" t="s">
        <v>19</v>
      </c>
      <c r="D12" s="10"/>
      <c r="E12" s="10"/>
      <c r="F12" s="10"/>
      <c r="G12" s="10"/>
      <c r="H12" s="10"/>
    </row>
    <row r="13" ht="19.5" customHeight="1">
      <c r="A13" s="8"/>
      <c r="B13" s="14"/>
      <c r="C13" s="10" t="s">
        <v>20</v>
      </c>
      <c r="D13" s="10"/>
      <c r="E13" s="10"/>
      <c r="F13" s="10"/>
      <c r="G13" s="10"/>
      <c r="H13" s="10"/>
    </row>
    <row r="14" ht="19.5" customHeight="1">
      <c r="A14" s="8"/>
      <c r="B14" s="14"/>
      <c r="C14" s="10" t="s">
        <v>21</v>
      </c>
      <c r="D14" s="10"/>
      <c r="E14" s="10"/>
      <c r="F14" s="10"/>
      <c r="G14" s="10"/>
      <c r="H14" s="10"/>
    </row>
    <row r="15" ht="19.5" customHeight="1">
      <c r="A15" s="8"/>
      <c r="B15" s="14"/>
      <c r="C15" s="10" t="s">
        <v>22</v>
      </c>
      <c r="D15" s="10"/>
      <c r="E15" s="10"/>
      <c r="F15" s="10"/>
      <c r="G15" s="10"/>
      <c r="H15" s="10"/>
    </row>
    <row r="16" ht="19.5" customHeight="1">
      <c r="A16" s="8"/>
      <c r="B16" s="14"/>
      <c r="C16" s="10" t="s">
        <v>23</v>
      </c>
      <c r="D16" s="10"/>
      <c r="E16" s="10"/>
      <c r="F16" s="10"/>
      <c r="G16" s="10"/>
      <c r="H16" s="10"/>
    </row>
    <row r="17" ht="19.5" customHeight="1">
      <c r="A17" s="8"/>
      <c r="B17" s="9" t="s">
        <v>24</v>
      </c>
      <c r="C17" s="10"/>
      <c r="D17" s="10">
        <f t="shared" ref="D17:H17" si="2">SUM(D5:D16)</f>
        <v>2160920</v>
      </c>
      <c r="E17" s="10">
        <f t="shared" si="2"/>
        <v>30000</v>
      </c>
      <c r="F17" s="10">
        <f t="shared" si="2"/>
        <v>74810</v>
      </c>
      <c r="G17" s="10">
        <f t="shared" si="2"/>
        <v>1650340</v>
      </c>
      <c r="H17" s="10">
        <f t="shared" si="2"/>
        <v>2265730</v>
      </c>
    </row>
    <row r="18" ht="19.5" customHeight="1">
      <c r="A18" s="8"/>
      <c r="B18" s="14"/>
      <c r="C18" s="10"/>
      <c r="D18" s="10"/>
      <c r="E18" s="10"/>
      <c r="F18" s="10"/>
      <c r="G18" s="10"/>
      <c r="H18" s="10"/>
    </row>
    <row r="19" ht="19.5" customHeight="1">
      <c r="A19" s="8"/>
      <c r="B19" s="14"/>
      <c r="C19" s="10"/>
      <c r="D19" s="10"/>
      <c r="E19" s="10"/>
      <c r="F19" s="10"/>
      <c r="G19" s="10"/>
      <c r="H19" s="10"/>
    </row>
    <row r="20" ht="19.5" customHeight="1">
      <c r="A20" s="15"/>
      <c r="B20" s="36" t="s">
        <v>32</v>
      </c>
      <c r="C20" s="37" t="s">
        <v>12</v>
      </c>
      <c r="D20" s="38">
        <v>149000.0</v>
      </c>
      <c r="E20" s="38">
        <v>32000.0</v>
      </c>
      <c r="F20" s="38">
        <v>5300.0</v>
      </c>
      <c r="G20" s="38">
        <v>0.0</v>
      </c>
      <c r="H20" s="10">
        <f t="shared" ref="H20:H24" si="3">SUM(D20:F20)</f>
        <v>186300</v>
      </c>
    </row>
    <row r="21" ht="19.5" customHeight="1">
      <c r="A21" s="15"/>
      <c r="B21" s="39"/>
      <c r="C21" s="40" t="s">
        <v>13</v>
      </c>
      <c r="D21" s="41">
        <v>181000.0</v>
      </c>
      <c r="E21" s="41">
        <v>32000.0</v>
      </c>
      <c r="F21" s="41">
        <v>8000.0</v>
      </c>
      <c r="G21" s="41">
        <v>0.0</v>
      </c>
      <c r="H21" s="10">
        <f t="shared" si="3"/>
        <v>221000</v>
      </c>
    </row>
    <row r="22" ht="19.5" customHeight="1">
      <c r="A22" s="15"/>
      <c r="B22" s="42"/>
      <c r="C22" s="38" t="s">
        <v>14</v>
      </c>
      <c r="D22" s="38">
        <v>214000.0</v>
      </c>
      <c r="E22" s="38">
        <v>10000.0</v>
      </c>
      <c r="F22" s="38">
        <v>7791.0</v>
      </c>
      <c r="G22" s="38">
        <v>0.0</v>
      </c>
      <c r="H22" s="10">
        <f t="shared" si="3"/>
        <v>231791</v>
      </c>
    </row>
    <row r="23" ht="19.5" customHeight="1">
      <c r="A23" s="15"/>
      <c r="B23" s="43"/>
      <c r="C23" s="11" t="s">
        <v>15</v>
      </c>
      <c r="D23" s="41">
        <v>230000.0</v>
      </c>
      <c r="E23" s="41">
        <v>25000.0</v>
      </c>
      <c r="F23" s="41">
        <v>14000.0</v>
      </c>
      <c r="G23" s="41">
        <v>0.0</v>
      </c>
      <c r="H23" s="10">
        <f t="shared" si="3"/>
        <v>269000</v>
      </c>
    </row>
    <row r="24" ht="19.5" customHeight="1">
      <c r="A24" s="15"/>
      <c r="B24" s="42"/>
      <c r="C24" s="44" t="s">
        <v>16</v>
      </c>
      <c r="D24" s="38">
        <v>234000.0</v>
      </c>
      <c r="E24" s="38">
        <v>25000.0</v>
      </c>
      <c r="F24" s="38">
        <v>11000.0</v>
      </c>
      <c r="G24" s="38">
        <v>0.0</v>
      </c>
      <c r="H24" s="10">
        <f t="shared" si="3"/>
        <v>270000</v>
      </c>
    </row>
    <row r="25" ht="19.5" customHeight="1">
      <c r="A25" s="15"/>
      <c r="B25" s="43"/>
      <c r="C25" s="11" t="s">
        <v>17</v>
      </c>
      <c r="D25" s="11"/>
      <c r="E25" s="11"/>
      <c r="F25" s="11"/>
      <c r="G25" s="11"/>
      <c r="H25" s="10"/>
    </row>
    <row r="26" ht="19.5" customHeight="1">
      <c r="A26" s="15"/>
      <c r="B26" s="42"/>
      <c r="C26" s="44" t="s">
        <v>18</v>
      </c>
      <c r="D26" s="44"/>
      <c r="E26" s="44"/>
      <c r="F26" s="44"/>
      <c r="G26" s="44"/>
      <c r="H26" s="10"/>
    </row>
    <row r="27" ht="19.5" customHeight="1">
      <c r="A27" s="15"/>
      <c r="B27" s="43"/>
      <c r="C27" s="11" t="s">
        <v>19</v>
      </c>
      <c r="D27" s="11"/>
      <c r="E27" s="11"/>
      <c r="F27" s="11"/>
      <c r="G27" s="11"/>
      <c r="H27" s="10"/>
    </row>
    <row r="28" ht="19.5" customHeight="1">
      <c r="A28" s="15"/>
      <c r="B28" s="42"/>
      <c r="C28" s="44" t="s">
        <v>20</v>
      </c>
      <c r="D28" s="44"/>
      <c r="E28" s="44"/>
      <c r="F28" s="44"/>
      <c r="G28" s="44"/>
      <c r="H28" s="10"/>
    </row>
    <row r="29" ht="19.5" customHeight="1">
      <c r="A29" s="15"/>
      <c r="B29" s="43"/>
      <c r="C29" s="11" t="s">
        <v>21</v>
      </c>
      <c r="D29" s="11"/>
      <c r="E29" s="11"/>
      <c r="F29" s="11"/>
      <c r="G29" s="11"/>
      <c r="H29" s="10"/>
    </row>
    <row r="30" ht="19.5" customHeight="1">
      <c r="A30" s="15"/>
      <c r="B30" s="42"/>
      <c r="C30" s="44" t="s">
        <v>22</v>
      </c>
      <c r="D30" s="44"/>
      <c r="E30" s="44"/>
      <c r="F30" s="44"/>
      <c r="G30" s="44"/>
      <c r="H30" s="10"/>
    </row>
    <row r="31" ht="19.5" customHeight="1">
      <c r="A31" s="15"/>
      <c r="B31" s="43"/>
      <c r="C31" s="11" t="s">
        <v>23</v>
      </c>
      <c r="D31" s="11"/>
      <c r="E31" s="11"/>
      <c r="F31" s="11"/>
      <c r="G31" s="11"/>
      <c r="H31" s="10"/>
    </row>
    <row r="32" ht="19.5" customHeight="1">
      <c r="A32" s="45"/>
      <c r="B32" s="46" t="s">
        <v>24</v>
      </c>
      <c r="C32" s="47"/>
      <c r="D32" s="47">
        <f t="shared" ref="D32:H32" si="4">SUM(D20:D31)</f>
        <v>1008000</v>
      </c>
      <c r="E32" s="47">
        <f t="shared" si="4"/>
        <v>124000</v>
      </c>
      <c r="F32" s="47">
        <f t="shared" si="4"/>
        <v>46091</v>
      </c>
      <c r="G32" s="47">
        <f t="shared" si="4"/>
        <v>0</v>
      </c>
      <c r="H32" s="47">
        <f t="shared" si="4"/>
        <v>1178091</v>
      </c>
    </row>
    <row r="33" ht="19.5" customHeight="1">
      <c r="A33" s="45"/>
      <c r="B33" s="48"/>
      <c r="C33" s="47"/>
      <c r="D33" s="47"/>
      <c r="E33" s="47"/>
      <c r="F33" s="47"/>
      <c r="G33" s="47"/>
      <c r="H33" s="10"/>
    </row>
    <row r="34" ht="19.5" customHeight="1">
      <c r="A34" s="45"/>
      <c r="B34" s="48"/>
      <c r="C34" s="47"/>
      <c r="D34" s="47"/>
      <c r="E34" s="47"/>
      <c r="F34" s="47"/>
      <c r="G34" s="47"/>
      <c r="H34" s="10"/>
    </row>
    <row r="35" ht="19.5" customHeight="1">
      <c r="A35" s="15"/>
      <c r="B35" s="49" t="s">
        <v>33</v>
      </c>
      <c r="C35" s="44" t="s">
        <v>12</v>
      </c>
      <c r="D35" s="38">
        <v>330000.0</v>
      </c>
      <c r="E35" s="38">
        <v>51000.0</v>
      </c>
      <c r="F35" s="38">
        <v>9340.0</v>
      </c>
      <c r="G35" s="38">
        <v>0.0</v>
      </c>
      <c r="H35" s="10">
        <f t="shared" ref="H35:H39" si="5">SUM(D35:F35)</f>
        <v>390340</v>
      </c>
    </row>
    <row r="36" ht="19.5" customHeight="1">
      <c r="A36" s="15"/>
      <c r="B36" s="43"/>
      <c r="C36" s="11" t="s">
        <v>13</v>
      </c>
      <c r="D36" s="41">
        <v>328000.0</v>
      </c>
      <c r="E36" s="41">
        <v>20000.0</v>
      </c>
      <c r="F36" s="41">
        <v>11280.0</v>
      </c>
      <c r="G36" s="41">
        <v>500000.0</v>
      </c>
      <c r="H36" s="10">
        <f t="shared" si="5"/>
        <v>359280</v>
      </c>
    </row>
    <row r="37" ht="19.5" customHeight="1">
      <c r="A37" s="15"/>
      <c r="B37" s="42"/>
      <c r="C37" s="38" t="s">
        <v>14</v>
      </c>
      <c r="D37" s="38">
        <v>347000.0</v>
      </c>
      <c r="E37" s="38">
        <v>0.0</v>
      </c>
      <c r="F37" s="38">
        <v>7220.0</v>
      </c>
      <c r="G37" s="38">
        <v>0.0</v>
      </c>
      <c r="H37" s="10">
        <f t="shared" si="5"/>
        <v>354220</v>
      </c>
    </row>
    <row r="38" ht="19.5" customHeight="1">
      <c r="A38" s="15"/>
      <c r="B38" s="43"/>
      <c r="C38" s="11" t="s">
        <v>15</v>
      </c>
      <c r="D38" s="41">
        <v>310000.0</v>
      </c>
      <c r="E38" s="41">
        <v>18000.0</v>
      </c>
      <c r="F38" s="41">
        <v>4220.0</v>
      </c>
      <c r="G38" s="41">
        <v>0.0</v>
      </c>
      <c r="H38" s="10">
        <f t="shared" si="5"/>
        <v>332220</v>
      </c>
    </row>
    <row r="39" ht="19.5" customHeight="1">
      <c r="A39" s="15"/>
      <c r="B39" s="42"/>
      <c r="C39" s="44" t="s">
        <v>16</v>
      </c>
      <c r="D39" s="38">
        <v>413000.0</v>
      </c>
      <c r="E39" s="38">
        <v>10000.0</v>
      </c>
      <c r="F39" s="38">
        <v>9740.0</v>
      </c>
      <c r="G39" s="38">
        <v>0.0</v>
      </c>
      <c r="H39" s="10">
        <f t="shared" si="5"/>
        <v>432740</v>
      </c>
    </row>
    <row r="40" ht="19.5" customHeight="1">
      <c r="A40" s="15"/>
      <c r="B40" s="43"/>
      <c r="C40" s="11" t="s">
        <v>17</v>
      </c>
      <c r="D40" s="11"/>
      <c r="E40" s="11"/>
      <c r="F40" s="11"/>
      <c r="G40" s="11"/>
      <c r="H40" s="10"/>
    </row>
    <row r="41" ht="19.5" customHeight="1">
      <c r="A41" s="15"/>
      <c r="B41" s="42"/>
      <c r="C41" s="44" t="s">
        <v>18</v>
      </c>
      <c r="D41" s="44"/>
      <c r="E41" s="44"/>
      <c r="F41" s="44"/>
      <c r="G41" s="44"/>
      <c r="H41" s="10"/>
    </row>
    <row r="42" ht="19.5" customHeight="1">
      <c r="A42" s="15"/>
      <c r="B42" s="43"/>
      <c r="C42" s="11" t="s">
        <v>19</v>
      </c>
      <c r="D42" s="11"/>
      <c r="E42" s="11"/>
      <c r="F42" s="11"/>
      <c r="G42" s="11"/>
      <c r="H42" s="10"/>
    </row>
    <row r="43" ht="19.5" customHeight="1">
      <c r="A43" s="15"/>
      <c r="B43" s="42"/>
      <c r="C43" s="44" t="s">
        <v>20</v>
      </c>
      <c r="D43" s="44"/>
      <c r="E43" s="44"/>
      <c r="F43" s="44"/>
      <c r="G43" s="44"/>
      <c r="H43" s="10"/>
    </row>
    <row r="44" ht="19.5" customHeight="1">
      <c r="A44" s="15"/>
      <c r="B44" s="43"/>
      <c r="C44" s="11" t="s">
        <v>21</v>
      </c>
      <c r="D44" s="11"/>
      <c r="E44" s="11"/>
      <c r="F44" s="11"/>
      <c r="G44" s="11"/>
      <c r="H44" s="10"/>
    </row>
    <row r="45" ht="19.5" customHeight="1">
      <c r="A45" s="15"/>
      <c r="B45" s="42"/>
      <c r="C45" s="44" t="s">
        <v>22</v>
      </c>
      <c r="D45" s="44"/>
      <c r="E45" s="44"/>
      <c r="F45" s="44"/>
      <c r="G45" s="44"/>
      <c r="H45" s="10"/>
    </row>
    <row r="46" ht="19.5" customHeight="1">
      <c r="A46" s="15"/>
      <c r="B46" s="43"/>
      <c r="C46" s="11" t="s">
        <v>23</v>
      </c>
      <c r="D46" s="11"/>
      <c r="E46" s="11"/>
      <c r="F46" s="11"/>
      <c r="G46" s="11"/>
      <c r="H46" s="10"/>
    </row>
    <row r="47" ht="19.5" customHeight="1">
      <c r="A47" s="45"/>
      <c r="B47" s="46" t="s">
        <v>24</v>
      </c>
      <c r="C47" s="47"/>
      <c r="D47" s="47">
        <f t="shared" ref="D47:H47" si="6">sum(D35:D46)</f>
        <v>1728000</v>
      </c>
      <c r="E47" s="47">
        <f t="shared" si="6"/>
        <v>99000</v>
      </c>
      <c r="F47" s="47">
        <f t="shared" si="6"/>
        <v>41800</v>
      </c>
      <c r="G47" s="47">
        <f t="shared" si="6"/>
        <v>500000</v>
      </c>
      <c r="H47" s="47">
        <f t="shared" si="6"/>
        <v>1868800</v>
      </c>
    </row>
    <row r="48" ht="19.5" customHeight="1">
      <c r="A48" s="45"/>
      <c r="B48" s="48"/>
      <c r="C48" s="47"/>
      <c r="D48" s="47"/>
      <c r="E48" s="47"/>
      <c r="F48" s="47"/>
      <c r="G48" s="47"/>
      <c r="H48" s="10"/>
    </row>
    <row r="49" ht="19.5" customHeight="1">
      <c r="A49" s="45"/>
      <c r="B49" s="48"/>
      <c r="C49" s="47"/>
      <c r="D49" s="47"/>
      <c r="E49" s="47"/>
      <c r="F49" s="47"/>
      <c r="G49" s="47"/>
      <c r="H49" s="10"/>
    </row>
    <row r="50" ht="19.5" customHeight="1">
      <c r="A50" s="15"/>
      <c r="B50" s="49" t="s">
        <v>34</v>
      </c>
      <c r="C50" s="44" t="s">
        <v>12</v>
      </c>
      <c r="D50" s="35">
        <v>335000.0</v>
      </c>
      <c r="E50" s="35">
        <v>84000.0</v>
      </c>
      <c r="F50" s="35">
        <v>26780.0</v>
      </c>
      <c r="G50" s="35">
        <v>0.0</v>
      </c>
      <c r="H50" s="13">
        <f t="shared" ref="H50:H54" si="7">SUM(D50:F50)</f>
        <v>445780</v>
      </c>
    </row>
    <row r="51" ht="19.5" customHeight="1">
      <c r="A51" s="15"/>
      <c r="B51" s="43"/>
      <c r="C51" s="11" t="s">
        <v>13</v>
      </c>
      <c r="D51" s="50">
        <v>487000.0</v>
      </c>
      <c r="E51" s="50">
        <v>20000.0</v>
      </c>
      <c r="F51" s="50">
        <v>14600.0</v>
      </c>
      <c r="G51" s="50">
        <v>0.0</v>
      </c>
      <c r="H51" s="13">
        <f t="shared" si="7"/>
        <v>521600</v>
      </c>
    </row>
    <row r="52" ht="19.5" customHeight="1">
      <c r="A52" s="15"/>
      <c r="B52" s="42"/>
      <c r="C52" s="38" t="s">
        <v>14</v>
      </c>
      <c r="D52" s="35">
        <v>374500.0</v>
      </c>
      <c r="E52" s="35">
        <v>46500.0</v>
      </c>
      <c r="F52" s="35">
        <v>11540.0</v>
      </c>
      <c r="G52" s="35">
        <v>0.0</v>
      </c>
      <c r="H52" s="13">
        <f t="shared" si="7"/>
        <v>432540</v>
      </c>
    </row>
    <row r="53" ht="19.5" customHeight="1">
      <c r="A53" s="15"/>
      <c r="B53" s="43"/>
      <c r="C53" s="11" t="s">
        <v>15</v>
      </c>
      <c r="D53" s="50">
        <v>540500.0</v>
      </c>
      <c r="E53" s="50">
        <v>40500.0</v>
      </c>
      <c r="F53" s="50">
        <v>4740.0</v>
      </c>
      <c r="G53" s="50">
        <v>0.0</v>
      </c>
      <c r="H53" s="13">
        <f t="shared" si="7"/>
        <v>585740</v>
      </c>
    </row>
    <row r="54" ht="19.5" customHeight="1">
      <c r="A54" s="15"/>
      <c r="B54" s="42"/>
      <c r="C54" s="44" t="s">
        <v>16</v>
      </c>
      <c r="D54" s="35">
        <v>431500.0</v>
      </c>
      <c r="E54" s="35">
        <v>16500.0</v>
      </c>
      <c r="F54" s="35">
        <v>18060.0</v>
      </c>
      <c r="G54" s="35">
        <v>0.0</v>
      </c>
      <c r="H54" s="13">
        <f t="shared" si="7"/>
        <v>466060</v>
      </c>
    </row>
    <row r="55" ht="19.5" customHeight="1">
      <c r="A55" s="15"/>
      <c r="B55" s="43"/>
      <c r="C55" s="11" t="s">
        <v>17</v>
      </c>
      <c r="D55" s="11"/>
      <c r="E55" s="11"/>
      <c r="F55" s="11"/>
      <c r="G55" s="11"/>
      <c r="H55" s="10"/>
    </row>
    <row r="56" ht="19.5" customHeight="1">
      <c r="A56" s="15"/>
      <c r="B56" s="42"/>
      <c r="C56" s="44" t="s">
        <v>18</v>
      </c>
      <c r="D56" s="44"/>
      <c r="E56" s="44"/>
      <c r="F56" s="44"/>
      <c r="G56" s="44"/>
      <c r="H56" s="10"/>
    </row>
    <row r="57" ht="19.5" customHeight="1">
      <c r="A57" s="15"/>
      <c r="B57" s="43"/>
      <c r="C57" s="11" t="s">
        <v>19</v>
      </c>
      <c r="D57" s="11"/>
      <c r="E57" s="11"/>
      <c r="F57" s="11"/>
      <c r="G57" s="11"/>
      <c r="H57" s="10"/>
    </row>
    <row r="58" ht="19.5" customHeight="1">
      <c r="A58" s="15"/>
      <c r="B58" s="42"/>
      <c r="C58" s="44" t="s">
        <v>20</v>
      </c>
      <c r="D58" s="44"/>
      <c r="E58" s="44"/>
      <c r="F58" s="44"/>
      <c r="G58" s="44"/>
      <c r="H58" s="10"/>
    </row>
    <row r="59" ht="19.5" customHeight="1">
      <c r="A59" s="15"/>
      <c r="B59" s="43"/>
      <c r="C59" s="11" t="s">
        <v>21</v>
      </c>
      <c r="D59" s="11"/>
      <c r="E59" s="11"/>
      <c r="F59" s="11"/>
      <c r="G59" s="11"/>
      <c r="H59" s="10"/>
    </row>
    <row r="60" ht="19.5" customHeight="1">
      <c r="A60" s="15"/>
      <c r="B60" s="42"/>
      <c r="C60" s="44" t="s">
        <v>22</v>
      </c>
      <c r="D60" s="44"/>
      <c r="E60" s="44"/>
      <c r="F60" s="44"/>
      <c r="G60" s="44"/>
      <c r="H60" s="10"/>
    </row>
    <row r="61" ht="19.5" customHeight="1">
      <c r="A61" s="15"/>
      <c r="B61" s="43"/>
      <c r="C61" s="11" t="s">
        <v>23</v>
      </c>
      <c r="D61" s="11"/>
      <c r="E61" s="11"/>
      <c r="F61" s="11"/>
      <c r="G61" s="11"/>
      <c r="H61" s="10"/>
    </row>
    <row r="62" ht="19.5" customHeight="1">
      <c r="A62" s="15"/>
      <c r="B62" s="16" t="s">
        <v>24</v>
      </c>
      <c r="C62" s="11"/>
      <c r="D62" s="51">
        <f t="shared" ref="D62:H62" si="8">sum(D50:D61)</f>
        <v>2168500</v>
      </c>
      <c r="E62" s="51">
        <f t="shared" si="8"/>
        <v>207500</v>
      </c>
      <c r="F62" s="51">
        <f t="shared" si="8"/>
        <v>75720</v>
      </c>
      <c r="G62" s="51">
        <f t="shared" si="8"/>
        <v>0</v>
      </c>
      <c r="H62" s="51">
        <f t="shared" si="8"/>
        <v>2451720</v>
      </c>
    </row>
    <row r="63" ht="19.5" customHeight="1">
      <c r="A63" s="15"/>
      <c r="B63" s="16" t="s">
        <v>7</v>
      </c>
      <c r="C63" s="11"/>
      <c r="D63" s="11">
        <f t="shared" ref="D63:G63" si="9">sum(D32,D17, D47, D62)</f>
        <v>7065420</v>
      </c>
      <c r="E63" s="11">
        <f t="shared" si="9"/>
        <v>460500</v>
      </c>
      <c r="F63" s="11">
        <f t="shared" si="9"/>
        <v>238421</v>
      </c>
      <c r="G63" s="11">
        <f t="shared" si="9"/>
        <v>2150340</v>
      </c>
      <c r="H63" s="11">
        <f>sum(D63:G63)</f>
        <v>9914681</v>
      </c>
    </row>
  </sheetData>
  <mergeCells count="2">
    <mergeCell ref="B1:F1"/>
    <mergeCell ref="B3:H3"/>
  </mergeCell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7" width="32.63"/>
    <col customWidth="1" min="8" max="8" width="24.63"/>
  </cols>
  <sheetData>
    <row r="1" ht="70.5" customHeight="1">
      <c r="A1" s="1"/>
      <c r="B1" s="2" t="s">
        <v>0</v>
      </c>
      <c r="G1" s="2"/>
      <c r="H1" s="2">
        <v>2024.0</v>
      </c>
    </row>
    <row r="2" ht="12.0" customHeight="1">
      <c r="A2" s="17"/>
      <c r="B2" s="18"/>
      <c r="C2" s="18"/>
      <c r="D2" s="18"/>
      <c r="E2" s="18"/>
      <c r="F2" s="18"/>
      <c r="G2" s="18"/>
      <c r="H2" s="18"/>
    </row>
    <row r="3" ht="30.0" customHeight="1">
      <c r="A3" s="19"/>
      <c r="B3" s="20"/>
    </row>
    <row r="4" ht="24.0" customHeight="1">
      <c r="A4" s="21"/>
      <c r="B4" s="22" t="s">
        <v>8</v>
      </c>
      <c r="C4" s="22" t="s">
        <v>9</v>
      </c>
      <c r="D4" s="22" t="s">
        <v>10</v>
      </c>
      <c r="E4" s="22" t="s">
        <v>28</v>
      </c>
      <c r="F4" s="22" t="s">
        <v>29</v>
      </c>
      <c r="G4" s="22" t="s">
        <v>30</v>
      </c>
      <c r="H4" s="22" t="s">
        <v>6</v>
      </c>
    </row>
    <row r="5" ht="21.0" customHeight="1">
      <c r="A5" s="23"/>
      <c r="B5" s="24" t="s">
        <v>35</v>
      </c>
      <c r="C5" s="10" t="s">
        <v>12</v>
      </c>
      <c r="D5" s="10">
        <v>329000.0</v>
      </c>
      <c r="E5" s="10">
        <v>20000.0</v>
      </c>
      <c r="F5" s="10">
        <v>17227.0</v>
      </c>
      <c r="G5" s="13">
        <v>635380.0</v>
      </c>
      <c r="H5" s="10">
        <f t="shared" ref="H5:H16" si="1">SUM(D5:F5)</f>
        <v>366227</v>
      </c>
    </row>
    <row r="6" ht="21.0" customHeight="1">
      <c r="A6" s="23"/>
      <c r="B6" s="24"/>
      <c r="C6" s="10" t="s">
        <v>13</v>
      </c>
      <c r="D6" s="10">
        <v>567027.0</v>
      </c>
      <c r="E6" s="10">
        <v>27000.0</v>
      </c>
      <c r="F6" s="10">
        <v>26600.0</v>
      </c>
      <c r="G6" s="32">
        <v>410000.0</v>
      </c>
      <c r="H6" s="10">
        <f t="shared" si="1"/>
        <v>620627</v>
      </c>
    </row>
    <row r="7" ht="21.0" customHeight="1">
      <c r="A7" s="23"/>
      <c r="B7" s="24"/>
      <c r="C7" s="10" t="s">
        <v>14</v>
      </c>
      <c r="D7" s="10">
        <v>270000.0</v>
      </c>
      <c r="E7" s="10">
        <v>18320.0</v>
      </c>
      <c r="F7" s="10">
        <v>10000.0</v>
      </c>
      <c r="G7" s="13">
        <v>348830.0</v>
      </c>
      <c r="H7" s="10">
        <f t="shared" si="1"/>
        <v>298320</v>
      </c>
    </row>
    <row r="8" ht="21.0" customHeight="1">
      <c r="A8" s="23"/>
      <c r="B8" s="24"/>
      <c r="C8" s="10" t="s">
        <v>15</v>
      </c>
      <c r="D8" s="10">
        <v>215000.0</v>
      </c>
      <c r="E8" s="12">
        <v>0.0</v>
      </c>
      <c r="F8" s="10">
        <v>14250.0</v>
      </c>
      <c r="G8" s="10">
        <v>198289.0</v>
      </c>
      <c r="H8" s="10">
        <f t="shared" si="1"/>
        <v>229250</v>
      </c>
    </row>
    <row r="9" ht="21.0" customHeight="1">
      <c r="A9" s="23"/>
      <c r="B9" s="24"/>
      <c r="C9" s="10" t="s">
        <v>16</v>
      </c>
      <c r="D9" s="10">
        <v>450000.0</v>
      </c>
      <c r="E9" s="12">
        <v>30000.0</v>
      </c>
      <c r="F9" s="10">
        <v>6400.0</v>
      </c>
      <c r="G9" s="10">
        <v>0.0</v>
      </c>
      <c r="H9" s="10">
        <f t="shared" si="1"/>
        <v>486400</v>
      </c>
    </row>
    <row r="10" ht="21.0" customHeight="1">
      <c r="A10" s="23"/>
      <c r="B10" s="24"/>
      <c r="C10" s="10" t="s">
        <v>17</v>
      </c>
      <c r="D10" s="10">
        <v>371000.0</v>
      </c>
      <c r="E10" s="12">
        <v>0.0</v>
      </c>
      <c r="F10" s="10">
        <v>7423.0</v>
      </c>
      <c r="G10" s="10">
        <v>0.0</v>
      </c>
      <c r="H10" s="10">
        <f t="shared" si="1"/>
        <v>378423</v>
      </c>
    </row>
    <row r="11" ht="21.0" customHeight="1">
      <c r="A11" s="23"/>
      <c r="B11" s="24"/>
      <c r="C11" s="10" t="s">
        <v>18</v>
      </c>
      <c r="D11" s="10">
        <v>384000.0</v>
      </c>
      <c r="E11" s="10">
        <v>20000.0</v>
      </c>
      <c r="F11" s="10">
        <v>4100.0</v>
      </c>
      <c r="G11" s="10">
        <v>0.0</v>
      </c>
      <c r="H11" s="10">
        <f t="shared" si="1"/>
        <v>408100</v>
      </c>
    </row>
    <row r="12" ht="21.0" customHeight="1">
      <c r="A12" s="23"/>
      <c r="B12" s="24"/>
      <c r="C12" s="10" t="s">
        <v>19</v>
      </c>
      <c r="D12" s="10">
        <v>468000.0</v>
      </c>
      <c r="E12" s="10">
        <v>10000.0</v>
      </c>
      <c r="F12" s="10">
        <v>5000.0</v>
      </c>
      <c r="G12" s="10">
        <v>0.0</v>
      </c>
      <c r="H12" s="10">
        <f t="shared" si="1"/>
        <v>483000</v>
      </c>
    </row>
    <row r="13" ht="19.5" customHeight="1">
      <c r="A13" s="23"/>
      <c r="B13" s="24"/>
      <c r="C13" s="10" t="s">
        <v>20</v>
      </c>
      <c r="D13" s="10">
        <v>384000.0</v>
      </c>
      <c r="E13" s="10">
        <v>0.0</v>
      </c>
      <c r="F13" s="10">
        <v>5214.0</v>
      </c>
      <c r="G13" s="10">
        <v>0.0</v>
      </c>
      <c r="H13" s="10">
        <f t="shared" si="1"/>
        <v>389214</v>
      </c>
    </row>
    <row r="14" ht="19.5" customHeight="1">
      <c r="A14" s="23"/>
      <c r="B14" s="24"/>
      <c r="C14" s="10" t="s">
        <v>21</v>
      </c>
      <c r="D14" s="10">
        <v>439000.0</v>
      </c>
      <c r="E14" s="10">
        <v>30000.0</v>
      </c>
      <c r="F14" s="10">
        <v>4000.0</v>
      </c>
      <c r="G14" s="10">
        <v>0.0</v>
      </c>
      <c r="H14" s="10">
        <f t="shared" si="1"/>
        <v>473000</v>
      </c>
    </row>
    <row r="15" ht="19.5" customHeight="1">
      <c r="A15" s="23"/>
      <c r="B15" s="24"/>
      <c r="C15" s="10" t="s">
        <v>22</v>
      </c>
      <c r="D15" s="10">
        <v>440000.0</v>
      </c>
      <c r="E15" s="10">
        <v>12000.0</v>
      </c>
      <c r="F15" s="10">
        <v>16400.0</v>
      </c>
      <c r="G15" s="10">
        <v>150000.0</v>
      </c>
      <c r="H15" s="10">
        <f t="shared" si="1"/>
        <v>468400</v>
      </c>
    </row>
    <row r="16" ht="19.5" customHeight="1">
      <c r="A16" s="23"/>
      <c r="B16" s="24"/>
      <c r="C16" s="10" t="s">
        <v>23</v>
      </c>
      <c r="D16" s="10">
        <v>475000.0</v>
      </c>
      <c r="E16" s="10">
        <v>30000.0</v>
      </c>
      <c r="F16" s="10">
        <v>6000.0</v>
      </c>
      <c r="G16" s="10">
        <v>250000.0</v>
      </c>
      <c r="H16" s="10">
        <f t="shared" si="1"/>
        <v>511000</v>
      </c>
    </row>
    <row r="17" ht="19.5" customHeight="1">
      <c r="A17" s="23"/>
      <c r="B17" s="25" t="s">
        <v>24</v>
      </c>
      <c r="C17" s="10"/>
      <c r="D17" s="10">
        <f t="shared" ref="D17:H17" si="2">SUM(D5:D16)</f>
        <v>4792027</v>
      </c>
      <c r="E17" s="10">
        <f t="shared" si="2"/>
        <v>197320</v>
      </c>
      <c r="F17" s="10">
        <f t="shared" si="2"/>
        <v>122614</v>
      </c>
      <c r="G17" s="13">
        <f t="shared" si="2"/>
        <v>1992499</v>
      </c>
      <c r="H17" s="10">
        <f t="shared" si="2"/>
        <v>5111961</v>
      </c>
    </row>
    <row r="18" ht="19.5" customHeight="1">
      <c r="A18" s="23"/>
      <c r="B18" s="24"/>
      <c r="C18" s="10"/>
      <c r="D18" s="10"/>
      <c r="E18" s="10"/>
      <c r="F18" s="10"/>
      <c r="G18" s="10"/>
      <c r="H18" s="10"/>
    </row>
    <row r="19" ht="19.5" customHeight="1">
      <c r="A19" s="23"/>
      <c r="B19" s="24"/>
      <c r="C19" s="10"/>
      <c r="D19" s="10"/>
      <c r="E19" s="10"/>
      <c r="F19" s="10"/>
      <c r="G19" s="10"/>
      <c r="H19" s="10"/>
    </row>
    <row r="20" ht="19.5" customHeight="1">
      <c r="A20" s="52"/>
      <c r="B20" s="53" t="s">
        <v>36</v>
      </c>
      <c r="C20" s="37" t="s">
        <v>12</v>
      </c>
      <c r="D20" s="38">
        <v>141000.0</v>
      </c>
      <c r="E20" s="38">
        <v>10000.0</v>
      </c>
      <c r="F20" s="38">
        <v>17600.0</v>
      </c>
      <c r="G20" s="13">
        <v>715380.0</v>
      </c>
      <c r="H20" s="10">
        <f t="shared" ref="H20:H31" si="3">SUM(D20:F20)</f>
        <v>168600</v>
      </c>
    </row>
    <row r="21" ht="19.5" customHeight="1">
      <c r="A21" s="52"/>
      <c r="B21" s="54"/>
      <c r="C21" s="40" t="s">
        <v>13</v>
      </c>
      <c r="D21" s="41">
        <v>289000.0</v>
      </c>
      <c r="E21" s="41">
        <v>0.0</v>
      </c>
      <c r="F21" s="41">
        <v>20100.0</v>
      </c>
      <c r="G21" s="13">
        <v>608830.0</v>
      </c>
      <c r="H21" s="10">
        <f t="shared" si="3"/>
        <v>309100</v>
      </c>
    </row>
    <row r="22" ht="19.5" customHeight="1">
      <c r="A22" s="52"/>
      <c r="B22" s="55"/>
      <c r="C22" s="38" t="s">
        <v>14</v>
      </c>
      <c r="D22" s="38">
        <v>134000.0</v>
      </c>
      <c r="E22" s="38">
        <v>25000.0</v>
      </c>
      <c r="F22" s="38">
        <v>12666.0</v>
      </c>
      <c r="G22" s="35">
        <v>449630.0</v>
      </c>
      <c r="H22" s="10">
        <f t="shared" si="3"/>
        <v>171666</v>
      </c>
    </row>
    <row r="23" ht="19.5" customHeight="1">
      <c r="A23" s="52"/>
      <c r="B23" s="56"/>
      <c r="C23" s="11" t="s">
        <v>15</v>
      </c>
      <c r="D23" s="41">
        <v>108000.0</v>
      </c>
      <c r="E23" s="41">
        <v>0.0</v>
      </c>
      <c r="F23" s="41">
        <v>10400.0</v>
      </c>
      <c r="G23" s="50">
        <v>316430.0</v>
      </c>
      <c r="H23" s="10">
        <f t="shared" si="3"/>
        <v>118400</v>
      </c>
    </row>
    <row r="24" ht="19.5" customHeight="1">
      <c r="A24" s="52"/>
      <c r="B24" s="55"/>
      <c r="C24" s="44" t="s">
        <v>16</v>
      </c>
      <c r="D24" s="38">
        <v>234000.0</v>
      </c>
      <c r="E24" s="38">
        <v>33000.0</v>
      </c>
      <c r="F24" s="38">
        <v>15300.0</v>
      </c>
      <c r="G24" s="35">
        <v>568000.0</v>
      </c>
      <c r="H24" s="10">
        <f t="shared" si="3"/>
        <v>282300</v>
      </c>
    </row>
    <row r="25" ht="19.5" customHeight="1">
      <c r="A25" s="52"/>
      <c r="B25" s="56"/>
      <c r="C25" s="11" t="s">
        <v>17</v>
      </c>
      <c r="D25" s="41">
        <v>199000.0</v>
      </c>
      <c r="E25" s="41">
        <v>0.0</v>
      </c>
      <c r="F25" s="41">
        <v>21524.0</v>
      </c>
      <c r="G25" s="50">
        <v>562880.0</v>
      </c>
      <c r="H25" s="10">
        <f t="shared" si="3"/>
        <v>220524</v>
      </c>
    </row>
    <row r="26" ht="19.5" customHeight="1">
      <c r="A26" s="52"/>
      <c r="B26" s="55"/>
      <c r="C26" s="44" t="s">
        <v>18</v>
      </c>
      <c r="D26" s="38">
        <v>185000.0</v>
      </c>
      <c r="E26" s="38">
        <v>33000.0</v>
      </c>
      <c r="F26" s="38">
        <v>13100.0</v>
      </c>
      <c r="G26" s="57">
        <v>208977.85</v>
      </c>
      <c r="H26" s="10">
        <f t="shared" si="3"/>
        <v>231100</v>
      </c>
    </row>
    <row r="27" ht="19.5" customHeight="1">
      <c r="A27" s="52"/>
      <c r="B27" s="56"/>
      <c r="C27" s="11" t="s">
        <v>19</v>
      </c>
      <c r="D27" s="41">
        <v>185000.0</v>
      </c>
      <c r="E27" s="41">
        <v>10000.0</v>
      </c>
      <c r="F27" s="41">
        <v>13000.0</v>
      </c>
      <c r="G27" s="58">
        <v>208977.85</v>
      </c>
      <c r="H27" s="10">
        <f t="shared" si="3"/>
        <v>208000</v>
      </c>
    </row>
    <row r="28" ht="19.5" customHeight="1">
      <c r="A28" s="52"/>
      <c r="B28" s="55"/>
      <c r="C28" s="44" t="s">
        <v>20</v>
      </c>
      <c r="D28" s="38">
        <v>202000.0</v>
      </c>
      <c r="E28" s="38">
        <v>15000.0</v>
      </c>
      <c r="F28" s="38">
        <v>8500.0</v>
      </c>
      <c r="G28" s="35">
        <v>1048424.0</v>
      </c>
      <c r="H28" s="10">
        <f t="shared" si="3"/>
        <v>225500</v>
      </c>
    </row>
    <row r="29" ht="19.5" customHeight="1">
      <c r="A29" s="52"/>
      <c r="B29" s="56"/>
      <c r="C29" s="11" t="s">
        <v>21</v>
      </c>
      <c r="D29" s="41">
        <v>178000.0</v>
      </c>
      <c r="E29" s="41">
        <v>30000.0</v>
      </c>
      <c r="F29" s="41">
        <v>11214.0</v>
      </c>
      <c r="G29" s="50">
        <v>954056.0</v>
      </c>
      <c r="H29" s="10">
        <f t="shared" si="3"/>
        <v>219214</v>
      </c>
    </row>
    <row r="30" ht="19.5" customHeight="1">
      <c r="A30" s="52"/>
      <c r="B30" s="55"/>
      <c r="C30" s="44" t="s">
        <v>22</v>
      </c>
      <c r="D30" s="38">
        <v>203000.0</v>
      </c>
      <c r="E30" s="38">
        <v>10000.0</v>
      </c>
      <c r="F30" s="38">
        <v>12000.0</v>
      </c>
      <c r="G30" s="35">
        <v>354056.0</v>
      </c>
      <c r="H30" s="10">
        <f t="shared" si="3"/>
        <v>225000</v>
      </c>
    </row>
    <row r="31" ht="19.5" customHeight="1">
      <c r="A31" s="52"/>
      <c r="B31" s="56"/>
      <c r="C31" s="11" t="s">
        <v>23</v>
      </c>
      <c r="D31" s="41">
        <v>132000.0</v>
      </c>
      <c r="E31" s="41">
        <v>0.0</v>
      </c>
      <c r="F31" s="41">
        <v>9000.0</v>
      </c>
      <c r="G31" s="50">
        <v>780495.0</v>
      </c>
      <c r="H31" s="10">
        <f t="shared" si="3"/>
        <v>141000</v>
      </c>
    </row>
    <row r="32" ht="19.5" customHeight="1">
      <c r="A32" s="59"/>
      <c r="B32" s="60" t="s">
        <v>24</v>
      </c>
      <c r="C32" s="47"/>
      <c r="D32" s="47">
        <f t="shared" ref="D32:H32" si="4">SUM(D20:D31)</f>
        <v>2190000</v>
      </c>
      <c r="E32" s="47">
        <f t="shared" si="4"/>
        <v>166000</v>
      </c>
      <c r="F32" s="47">
        <f t="shared" si="4"/>
        <v>164404</v>
      </c>
      <c r="G32" s="61">
        <f t="shared" si="4"/>
        <v>6776136.7</v>
      </c>
      <c r="H32" s="47">
        <f t="shared" si="4"/>
        <v>2520404</v>
      </c>
    </row>
    <row r="33" ht="19.5" customHeight="1">
      <c r="A33" s="59"/>
      <c r="B33" s="62"/>
      <c r="C33" s="47"/>
      <c r="D33" s="47"/>
      <c r="E33" s="47"/>
      <c r="F33" s="47"/>
      <c r="G33" s="47"/>
      <c r="H33" s="10"/>
    </row>
    <row r="34" ht="19.5" customHeight="1">
      <c r="A34" s="59"/>
      <c r="B34" s="62"/>
      <c r="C34" s="47"/>
      <c r="D34" s="47"/>
      <c r="E34" s="47"/>
      <c r="F34" s="47"/>
      <c r="G34" s="47"/>
      <c r="H34" s="10"/>
    </row>
    <row r="35" ht="19.5" customHeight="1">
      <c r="A35" s="52"/>
      <c r="B35" s="63" t="s">
        <v>37</v>
      </c>
      <c r="C35" s="44" t="s">
        <v>12</v>
      </c>
      <c r="D35" s="35">
        <v>133000.0</v>
      </c>
      <c r="E35" s="38">
        <v>0.0</v>
      </c>
      <c r="F35" s="35">
        <v>2280.0</v>
      </c>
      <c r="G35" s="38">
        <v>0.0</v>
      </c>
      <c r="H35" s="13">
        <f t="shared" ref="H35:H46" si="5">SUM(D35:F35)</f>
        <v>135280</v>
      </c>
    </row>
    <row r="36" ht="19.5" customHeight="1">
      <c r="A36" s="52"/>
      <c r="B36" s="56"/>
      <c r="C36" s="11" t="s">
        <v>13</v>
      </c>
      <c r="D36" s="50">
        <v>135000.0</v>
      </c>
      <c r="E36" s="41">
        <v>0.0</v>
      </c>
      <c r="F36" s="41">
        <v>560.0</v>
      </c>
      <c r="G36" s="41">
        <v>0.0</v>
      </c>
      <c r="H36" s="13">
        <f t="shared" si="5"/>
        <v>135560</v>
      </c>
    </row>
    <row r="37" ht="19.5" customHeight="1">
      <c r="A37" s="52"/>
      <c r="B37" s="55"/>
      <c r="C37" s="38" t="s">
        <v>14</v>
      </c>
      <c r="D37" s="35">
        <v>96000.0</v>
      </c>
      <c r="E37" s="35">
        <v>33000.0</v>
      </c>
      <c r="F37" s="35">
        <v>1040.0</v>
      </c>
      <c r="G37" s="38">
        <v>0.0</v>
      </c>
      <c r="H37" s="13">
        <f t="shared" si="5"/>
        <v>130040</v>
      </c>
    </row>
    <row r="38" ht="19.5" customHeight="1">
      <c r="A38" s="52"/>
      <c r="B38" s="56"/>
      <c r="C38" s="11" t="s">
        <v>15</v>
      </c>
      <c r="D38" s="50">
        <v>114000.0</v>
      </c>
      <c r="E38" s="50">
        <v>16500.0</v>
      </c>
      <c r="F38" s="50">
        <v>1200.0</v>
      </c>
      <c r="G38" s="41">
        <v>0.0</v>
      </c>
      <c r="H38" s="13">
        <f t="shared" si="5"/>
        <v>131700</v>
      </c>
    </row>
    <row r="39" ht="19.5" customHeight="1">
      <c r="A39" s="52"/>
      <c r="B39" s="55"/>
      <c r="C39" s="44" t="s">
        <v>16</v>
      </c>
      <c r="D39" s="35">
        <v>267000.0</v>
      </c>
      <c r="E39" s="35">
        <v>60000.0</v>
      </c>
      <c r="F39" s="35">
        <v>2800.0</v>
      </c>
      <c r="G39" s="38">
        <v>0.0</v>
      </c>
      <c r="H39" s="13">
        <f t="shared" si="5"/>
        <v>329800</v>
      </c>
    </row>
    <row r="40" ht="19.5" customHeight="1">
      <c r="A40" s="52"/>
      <c r="B40" s="56"/>
      <c r="C40" s="11" t="s">
        <v>17</v>
      </c>
      <c r="D40" s="50">
        <v>186500.0</v>
      </c>
      <c r="E40" s="50">
        <v>21500.0</v>
      </c>
      <c r="F40" s="50">
        <v>2450.0</v>
      </c>
      <c r="G40" s="41">
        <v>0.0</v>
      </c>
      <c r="H40" s="13">
        <f t="shared" si="5"/>
        <v>210450</v>
      </c>
    </row>
    <row r="41" ht="19.5" customHeight="1">
      <c r="A41" s="52"/>
      <c r="B41" s="55"/>
      <c r="C41" s="44" t="s">
        <v>18</v>
      </c>
      <c r="D41" s="35">
        <v>185000.0</v>
      </c>
      <c r="E41" s="35">
        <v>29500.0</v>
      </c>
      <c r="F41" s="35">
        <v>2950.0</v>
      </c>
      <c r="G41" s="38">
        <v>0.0</v>
      </c>
      <c r="H41" s="13">
        <f t="shared" si="5"/>
        <v>217450</v>
      </c>
    </row>
    <row r="42" ht="19.5" customHeight="1">
      <c r="A42" s="52"/>
      <c r="B42" s="56"/>
      <c r="C42" s="11" t="s">
        <v>19</v>
      </c>
      <c r="D42" s="50">
        <v>265000.0</v>
      </c>
      <c r="E42" s="50">
        <v>31000.0</v>
      </c>
      <c r="F42" s="50">
        <v>3450.0</v>
      </c>
      <c r="G42" s="41">
        <v>0.0</v>
      </c>
      <c r="H42" s="13">
        <f t="shared" si="5"/>
        <v>299450</v>
      </c>
    </row>
    <row r="43" ht="19.5" customHeight="1">
      <c r="A43" s="52"/>
      <c r="B43" s="55"/>
      <c r="C43" s="44" t="s">
        <v>20</v>
      </c>
      <c r="D43" s="35">
        <v>359000.0</v>
      </c>
      <c r="E43" s="38">
        <v>0.0</v>
      </c>
      <c r="F43" s="35">
        <v>4250.0</v>
      </c>
      <c r="G43" s="38">
        <v>0.0</v>
      </c>
      <c r="H43" s="13">
        <f t="shared" si="5"/>
        <v>363250</v>
      </c>
    </row>
    <row r="44" ht="19.5" customHeight="1">
      <c r="A44" s="52"/>
      <c r="B44" s="56"/>
      <c r="C44" s="11" t="s">
        <v>21</v>
      </c>
      <c r="D44" s="50">
        <v>303000.0</v>
      </c>
      <c r="E44" s="50">
        <v>45000.0</v>
      </c>
      <c r="F44" s="50">
        <v>5250.0</v>
      </c>
      <c r="G44" s="41">
        <v>0.0</v>
      </c>
      <c r="H44" s="13">
        <f t="shared" si="5"/>
        <v>353250</v>
      </c>
    </row>
    <row r="45" ht="19.5" customHeight="1">
      <c r="A45" s="52"/>
      <c r="B45" s="55"/>
      <c r="C45" s="44" t="s">
        <v>22</v>
      </c>
      <c r="D45" s="35">
        <v>263000.0</v>
      </c>
      <c r="E45" s="35">
        <v>44000.0</v>
      </c>
      <c r="F45" s="35">
        <v>10050.0</v>
      </c>
      <c r="G45" s="38">
        <v>0.0</v>
      </c>
      <c r="H45" s="13">
        <f t="shared" si="5"/>
        <v>317050</v>
      </c>
    </row>
    <row r="46" ht="19.5" customHeight="1">
      <c r="A46" s="52"/>
      <c r="B46" s="56"/>
      <c r="C46" s="11" t="s">
        <v>23</v>
      </c>
      <c r="D46" s="50">
        <v>437500.0</v>
      </c>
      <c r="E46" s="50">
        <v>15500.0</v>
      </c>
      <c r="F46" s="50">
        <v>20820.0</v>
      </c>
      <c r="G46" s="41">
        <v>0.0</v>
      </c>
      <c r="H46" s="13">
        <f t="shared" si="5"/>
        <v>473820</v>
      </c>
    </row>
    <row r="47" ht="19.5" customHeight="1">
      <c r="A47" s="52"/>
      <c r="B47" s="64" t="s">
        <v>24</v>
      </c>
      <c r="C47" s="11"/>
      <c r="D47" s="50">
        <f t="shared" ref="D47:H47" si="6">sum(D35:D46)</f>
        <v>2744000</v>
      </c>
      <c r="E47" s="50">
        <f t="shared" si="6"/>
        <v>296000</v>
      </c>
      <c r="F47" s="50">
        <f t="shared" si="6"/>
        <v>57100</v>
      </c>
      <c r="G47" s="50">
        <f t="shared" si="6"/>
        <v>0</v>
      </c>
      <c r="H47" s="50">
        <f t="shared" si="6"/>
        <v>3097100</v>
      </c>
    </row>
    <row r="48" ht="19.5" customHeight="1">
      <c r="A48" s="52"/>
      <c r="B48" s="56"/>
      <c r="C48" s="11"/>
      <c r="D48" s="50"/>
      <c r="E48" s="50"/>
      <c r="F48" s="50"/>
      <c r="G48" s="41"/>
      <c r="H48" s="10"/>
    </row>
    <row r="49" ht="19.5" customHeight="1">
      <c r="A49" s="59"/>
      <c r="B49" s="62"/>
      <c r="C49" s="47"/>
      <c r="D49" s="47"/>
      <c r="E49" s="47"/>
      <c r="F49" s="47"/>
      <c r="G49" s="47"/>
      <c r="H49" s="10"/>
    </row>
    <row r="50" ht="19.5" customHeight="1">
      <c r="A50" s="59"/>
      <c r="B50" s="62"/>
      <c r="C50" s="47"/>
      <c r="D50" s="47"/>
      <c r="E50" s="47"/>
      <c r="F50" s="47"/>
      <c r="G50" s="47"/>
      <c r="H50" s="10"/>
    </row>
    <row r="51" ht="19.5" customHeight="1">
      <c r="A51" s="52"/>
      <c r="B51" s="63" t="s">
        <v>38</v>
      </c>
      <c r="C51" s="44" t="s">
        <v>12</v>
      </c>
      <c r="D51" s="35">
        <v>557500.0</v>
      </c>
      <c r="E51" s="35">
        <v>52500.0</v>
      </c>
      <c r="F51" s="35">
        <v>24064.0</v>
      </c>
      <c r="G51" s="35">
        <v>0.0</v>
      </c>
      <c r="H51" s="13">
        <f t="shared" ref="H51:H62" si="7">SUM(D51:F51)</f>
        <v>634064</v>
      </c>
    </row>
    <row r="52" ht="19.5" customHeight="1">
      <c r="A52" s="52"/>
      <c r="B52" s="56"/>
      <c r="C52" s="11" t="s">
        <v>13</v>
      </c>
      <c r="D52" s="50">
        <v>495500.0</v>
      </c>
      <c r="E52" s="50">
        <v>32500.0</v>
      </c>
      <c r="F52" s="50">
        <v>11130.0</v>
      </c>
      <c r="G52" s="35">
        <v>0.0</v>
      </c>
      <c r="H52" s="13">
        <f t="shared" si="7"/>
        <v>539130</v>
      </c>
    </row>
    <row r="53" ht="19.5" customHeight="1">
      <c r="A53" s="52"/>
      <c r="B53" s="55"/>
      <c r="C53" s="38" t="s">
        <v>14</v>
      </c>
      <c r="D53" s="35">
        <v>377500.0</v>
      </c>
      <c r="E53" s="35">
        <v>21500.0</v>
      </c>
      <c r="F53" s="35">
        <v>9700.0</v>
      </c>
      <c r="G53" s="35">
        <v>0.0</v>
      </c>
      <c r="H53" s="13">
        <f t="shared" si="7"/>
        <v>408700</v>
      </c>
    </row>
    <row r="54" ht="19.5" customHeight="1">
      <c r="A54" s="52"/>
      <c r="B54" s="56"/>
      <c r="C54" s="11" t="s">
        <v>15</v>
      </c>
      <c r="D54" s="50">
        <v>577500.0</v>
      </c>
      <c r="E54" s="50">
        <v>140500.0</v>
      </c>
      <c r="F54" s="50">
        <v>11584.0</v>
      </c>
      <c r="G54" s="35">
        <v>0.0</v>
      </c>
      <c r="H54" s="13">
        <f t="shared" si="7"/>
        <v>729584</v>
      </c>
    </row>
    <row r="55" ht="19.5" customHeight="1">
      <c r="A55" s="52"/>
      <c r="B55" s="55"/>
      <c r="C55" s="44" t="s">
        <v>16</v>
      </c>
      <c r="D55" s="35">
        <v>71000.0</v>
      </c>
      <c r="E55" s="35"/>
      <c r="F55" s="38">
        <v>400.0</v>
      </c>
      <c r="G55" s="35">
        <v>0.0</v>
      </c>
      <c r="H55" s="13">
        <f t="shared" si="7"/>
        <v>71400</v>
      </c>
    </row>
    <row r="56" ht="19.5" customHeight="1">
      <c r="A56" s="52"/>
      <c r="B56" s="56"/>
      <c r="C56" s="11" t="s">
        <v>17</v>
      </c>
      <c r="D56" s="50">
        <v>472000.0</v>
      </c>
      <c r="E56" s="50">
        <v>61000.0</v>
      </c>
      <c r="F56" s="50">
        <v>19750.0</v>
      </c>
      <c r="G56" s="35">
        <v>0.0</v>
      </c>
      <c r="H56" s="13">
        <f t="shared" si="7"/>
        <v>552750</v>
      </c>
    </row>
    <row r="57" ht="19.5" customHeight="1">
      <c r="A57" s="52"/>
      <c r="B57" s="55"/>
      <c r="C57" s="44" t="s">
        <v>18</v>
      </c>
      <c r="D57" s="35">
        <v>562500.0</v>
      </c>
      <c r="E57" s="35">
        <v>21500.0</v>
      </c>
      <c r="F57" s="35">
        <v>11000.0</v>
      </c>
      <c r="G57" s="35">
        <v>0.0</v>
      </c>
      <c r="H57" s="13">
        <f t="shared" si="7"/>
        <v>595000</v>
      </c>
    </row>
    <row r="58" ht="19.5" customHeight="1">
      <c r="A58" s="52"/>
      <c r="B58" s="56"/>
      <c r="C58" s="11" t="s">
        <v>19</v>
      </c>
      <c r="D58" s="50">
        <v>509000.0</v>
      </c>
      <c r="E58" s="50">
        <v>21000.0</v>
      </c>
      <c r="F58" s="50">
        <v>22550.0</v>
      </c>
      <c r="G58" s="35">
        <v>0.0</v>
      </c>
      <c r="H58" s="13">
        <f t="shared" si="7"/>
        <v>552550</v>
      </c>
    </row>
    <row r="59" ht="19.5" customHeight="1">
      <c r="A59" s="52"/>
      <c r="B59" s="55"/>
      <c r="C59" s="44" t="s">
        <v>20</v>
      </c>
      <c r="D59" s="35">
        <v>522500.0</v>
      </c>
      <c r="E59" s="35">
        <v>51500.0</v>
      </c>
      <c r="F59" s="35">
        <v>20470.0</v>
      </c>
      <c r="G59" s="35">
        <v>0.0</v>
      </c>
      <c r="H59" s="13">
        <f t="shared" si="7"/>
        <v>594470</v>
      </c>
    </row>
    <row r="60" ht="19.5" customHeight="1">
      <c r="A60" s="52"/>
      <c r="B60" s="56"/>
      <c r="C60" s="11" t="s">
        <v>21</v>
      </c>
      <c r="D60" s="50">
        <v>535500.0</v>
      </c>
      <c r="E60" s="50">
        <v>21500.0</v>
      </c>
      <c r="F60" s="50">
        <v>27110.0</v>
      </c>
      <c r="G60" s="35">
        <v>0.0</v>
      </c>
      <c r="H60" s="13">
        <f t="shared" si="7"/>
        <v>584110</v>
      </c>
    </row>
    <row r="61" ht="19.5" customHeight="1">
      <c r="A61" s="52"/>
      <c r="B61" s="55"/>
      <c r="C61" s="44" t="s">
        <v>22</v>
      </c>
      <c r="D61" s="35">
        <v>499000.0</v>
      </c>
      <c r="E61" s="35"/>
      <c r="F61" s="35">
        <v>22990.0</v>
      </c>
      <c r="G61" s="35">
        <v>0.0</v>
      </c>
      <c r="H61" s="13">
        <f t="shared" si="7"/>
        <v>521990</v>
      </c>
    </row>
    <row r="62" ht="19.5" customHeight="1">
      <c r="A62" s="52"/>
      <c r="B62" s="56"/>
      <c r="C62" s="11" t="s">
        <v>23</v>
      </c>
      <c r="D62" s="50">
        <v>514000.0</v>
      </c>
      <c r="E62" s="50">
        <v>75000.0</v>
      </c>
      <c r="F62" s="50">
        <v>36040.0</v>
      </c>
      <c r="G62" s="35">
        <v>0.0</v>
      </c>
      <c r="H62" s="13">
        <f t="shared" si="7"/>
        <v>625040</v>
      </c>
    </row>
    <row r="63" ht="19.5" customHeight="1">
      <c r="A63" s="52"/>
      <c r="B63" s="64" t="s">
        <v>24</v>
      </c>
      <c r="C63" s="11"/>
      <c r="D63" s="50">
        <f t="shared" ref="D63:H63" si="8">SUM(D51:D62)</f>
        <v>5693500</v>
      </c>
      <c r="E63" s="50">
        <f t="shared" si="8"/>
        <v>498500</v>
      </c>
      <c r="F63" s="50">
        <f t="shared" si="8"/>
        <v>216788</v>
      </c>
      <c r="G63" s="50">
        <f t="shared" si="8"/>
        <v>0</v>
      </c>
      <c r="H63" s="50">
        <f t="shared" si="8"/>
        <v>6408788</v>
      </c>
    </row>
    <row r="64" ht="19.5" customHeight="1">
      <c r="A64" s="52"/>
      <c r="B64" s="64" t="s">
        <v>7</v>
      </c>
      <c r="C64" s="11"/>
      <c r="D64" s="50">
        <f t="shared" ref="D64:G64" si="9">sum(D32,D17, D47, D63)</f>
        <v>15419527</v>
      </c>
      <c r="E64" s="50">
        <f t="shared" si="9"/>
        <v>1157820</v>
      </c>
      <c r="F64" s="50">
        <f t="shared" si="9"/>
        <v>560906</v>
      </c>
      <c r="G64" s="50">
        <f t="shared" si="9"/>
        <v>8768635.7</v>
      </c>
      <c r="H64" s="50">
        <f>sum(D64:G64)</f>
        <v>25906888.7</v>
      </c>
    </row>
  </sheetData>
  <mergeCells count="2">
    <mergeCell ref="B1:F1"/>
    <mergeCell ref="B3:H3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7" width="32.63"/>
    <col customWidth="1" min="8" max="8" width="24.63"/>
  </cols>
  <sheetData>
    <row r="1" ht="70.5" customHeight="1">
      <c r="A1" s="26"/>
      <c r="B1" s="2" t="s">
        <v>0</v>
      </c>
      <c r="G1" s="2"/>
      <c r="H1" s="2">
        <v>2023.0</v>
      </c>
    </row>
    <row r="2" ht="12.0" customHeight="1">
      <c r="A2" s="27"/>
      <c r="B2" s="18"/>
      <c r="C2" s="18"/>
      <c r="D2" s="18"/>
      <c r="E2" s="18"/>
      <c r="F2" s="18"/>
      <c r="G2" s="18"/>
      <c r="H2" s="18"/>
    </row>
    <row r="3" ht="30.0" customHeight="1">
      <c r="A3" s="28"/>
      <c r="B3" s="20"/>
    </row>
    <row r="4" ht="24.0" customHeight="1">
      <c r="A4" s="29"/>
      <c r="B4" s="22" t="s">
        <v>8</v>
      </c>
      <c r="C4" s="22" t="s">
        <v>9</v>
      </c>
      <c r="D4" s="22" t="s">
        <v>10</v>
      </c>
      <c r="E4" s="22" t="s">
        <v>28</v>
      </c>
      <c r="F4" s="22" t="s">
        <v>29</v>
      </c>
      <c r="G4" s="22" t="s">
        <v>30</v>
      </c>
      <c r="H4" s="22" t="s">
        <v>6</v>
      </c>
    </row>
    <row r="5" ht="21.0" customHeight="1">
      <c r="A5" s="31"/>
      <c r="B5" s="24" t="s">
        <v>39</v>
      </c>
      <c r="C5" s="10" t="s">
        <v>12</v>
      </c>
      <c r="D5" s="13">
        <v>56000.0</v>
      </c>
      <c r="E5" s="13">
        <v>14000.0</v>
      </c>
      <c r="F5" s="13">
        <v>1455.8</v>
      </c>
      <c r="G5" s="13">
        <v>0.0</v>
      </c>
      <c r="H5" s="13">
        <f t="shared" ref="H5:H16" si="1">sum(D5:F5)</f>
        <v>71455.8</v>
      </c>
    </row>
    <row r="6" ht="21.0" customHeight="1">
      <c r="A6" s="31"/>
      <c r="B6" s="24"/>
      <c r="C6" s="10" t="s">
        <v>13</v>
      </c>
      <c r="D6" s="13">
        <v>127500.0</v>
      </c>
      <c r="E6" s="13">
        <v>7500.0</v>
      </c>
      <c r="F6" s="13">
        <v>3000.0</v>
      </c>
      <c r="G6" s="13">
        <v>0.0</v>
      </c>
      <c r="H6" s="13">
        <f t="shared" si="1"/>
        <v>138000</v>
      </c>
    </row>
    <row r="7" ht="21.0" customHeight="1">
      <c r="A7" s="31"/>
      <c r="B7" s="24"/>
      <c r="C7" s="10" t="s">
        <v>14</v>
      </c>
      <c r="D7" s="13">
        <v>100000.0</v>
      </c>
      <c r="E7" s="13">
        <v>15000.0</v>
      </c>
      <c r="F7" s="13">
        <v>1000.0</v>
      </c>
      <c r="G7" s="13">
        <v>0.0</v>
      </c>
      <c r="H7" s="13">
        <f t="shared" si="1"/>
        <v>116000</v>
      </c>
    </row>
    <row r="8" ht="21.0" customHeight="1">
      <c r="A8" s="31"/>
      <c r="B8" s="24"/>
      <c r="C8" s="10" t="s">
        <v>15</v>
      </c>
      <c r="D8" s="13">
        <v>168000.0</v>
      </c>
      <c r="E8" s="13">
        <v>15000.0</v>
      </c>
      <c r="F8" s="32">
        <v>1274.81</v>
      </c>
      <c r="G8" s="32">
        <v>1554663.0</v>
      </c>
      <c r="H8" s="13">
        <f t="shared" si="1"/>
        <v>184274.81</v>
      </c>
    </row>
    <row r="9" ht="21.0" customHeight="1">
      <c r="A9" s="31"/>
      <c r="B9" s="24"/>
      <c r="C9" s="10" t="s">
        <v>16</v>
      </c>
      <c r="D9" s="13">
        <v>115500.0</v>
      </c>
      <c r="E9" s="13">
        <v>7500.0</v>
      </c>
      <c r="F9" s="13">
        <v>1500.0</v>
      </c>
      <c r="G9" s="13">
        <v>0.0</v>
      </c>
      <c r="H9" s="13">
        <f t="shared" si="1"/>
        <v>124500</v>
      </c>
    </row>
    <row r="10" ht="21.0" customHeight="1">
      <c r="A10" s="31"/>
      <c r="B10" s="24"/>
      <c r="C10" s="10" t="s">
        <v>17</v>
      </c>
      <c r="D10" s="13">
        <v>41000.0</v>
      </c>
      <c r="E10" s="13">
        <v>0.0</v>
      </c>
      <c r="F10" s="13">
        <v>6000.0</v>
      </c>
      <c r="G10" s="13">
        <v>0.0</v>
      </c>
      <c r="H10" s="13">
        <f t="shared" si="1"/>
        <v>47000</v>
      </c>
    </row>
    <row r="11" ht="21.0" customHeight="1">
      <c r="A11" s="31"/>
      <c r="B11" s="24"/>
      <c r="C11" s="10" t="s">
        <v>18</v>
      </c>
      <c r="D11" s="13">
        <v>54500.0</v>
      </c>
      <c r="E11" s="13">
        <v>7500.0</v>
      </c>
      <c r="F11" s="10">
        <v>500.0</v>
      </c>
      <c r="G11" s="10">
        <v>0.0</v>
      </c>
      <c r="H11" s="13">
        <f t="shared" si="1"/>
        <v>62500</v>
      </c>
    </row>
    <row r="12" ht="21.0" customHeight="1">
      <c r="A12" s="31"/>
      <c r="B12" s="24"/>
      <c r="C12" s="10" t="s">
        <v>19</v>
      </c>
      <c r="D12" s="13">
        <v>641000.0</v>
      </c>
      <c r="E12" s="13">
        <v>33500.0</v>
      </c>
      <c r="F12" s="13">
        <v>15756.0</v>
      </c>
      <c r="G12" s="10">
        <v>603695.3</v>
      </c>
      <c r="H12" s="13">
        <f t="shared" si="1"/>
        <v>690256</v>
      </c>
    </row>
    <row r="13" ht="19.5" customHeight="1">
      <c r="A13" s="31"/>
      <c r="B13" s="24"/>
      <c r="C13" s="10" t="s">
        <v>20</v>
      </c>
      <c r="D13" s="10">
        <v>512075.0</v>
      </c>
      <c r="E13" s="10">
        <v>44000.0</v>
      </c>
      <c r="F13" s="10">
        <v>0.0</v>
      </c>
      <c r="G13" s="32">
        <v>2588829.0</v>
      </c>
      <c r="H13" s="13">
        <f t="shared" si="1"/>
        <v>556075</v>
      </c>
    </row>
    <row r="14" ht="19.5" customHeight="1">
      <c r="A14" s="31"/>
      <c r="B14" s="24"/>
      <c r="C14" s="10" t="s">
        <v>21</v>
      </c>
      <c r="D14" s="13">
        <v>402000.0</v>
      </c>
      <c r="E14" s="13">
        <v>7000.0</v>
      </c>
      <c r="F14" s="13">
        <v>16118.0</v>
      </c>
      <c r="G14" s="13">
        <v>198829.0</v>
      </c>
      <c r="H14" s="13">
        <f t="shared" si="1"/>
        <v>425118</v>
      </c>
    </row>
    <row r="15" ht="19.5" customHeight="1">
      <c r="A15" s="31"/>
      <c r="B15" s="24"/>
      <c r="C15" s="10" t="s">
        <v>22</v>
      </c>
      <c r="D15" s="13">
        <v>369000.0</v>
      </c>
      <c r="E15" s="13">
        <v>15000.0</v>
      </c>
      <c r="F15" s="13">
        <v>13500.0</v>
      </c>
      <c r="G15" s="13">
        <v>198829.0</v>
      </c>
      <c r="H15" s="13">
        <f t="shared" si="1"/>
        <v>397500</v>
      </c>
    </row>
    <row r="16" ht="19.5" customHeight="1">
      <c r="A16" s="31"/>
      <c r="B16" s="24"/>
      <c r="C16" s="10" t="s">
        <v>23</v>
      </c>
      <c r="D16" s="13">
        <v>458500.0</v>
      </c>
      <c r="E16" s="13">
        <v>19500.0</v>
      </c>
      <c r="F16" s="32">
        <v>15488.05</v>
      </c>
      <c r="G16" s="32">
        <v>373679.0</v>
      </c>
      <c r="H16" s="13">
        <f t="shared" si="1"/>
        <v>493488.05</v>
      </c>
    </row>
    <row r="17" ht="19.5" customHeight="1">
      <c r="A17" s="31"/>
      <c r="B17" s="25" t="s">
        <v>24</v>
      </c>
      <c r="C17" s="10"/>
      <c r="D17" s="13">
        <f t="shared" ref="D17:H17" si="2">SUM(D5:D16)</f>
        <v>3045075</v>
      </c>
      <c r="E17" s="13">
        <f t="shared" si="2"/>
        <v>185500</v>
      </c>
      <c r="F17" s="13">
        <f t="shared" si="2"/>
        <v>75592.66</v>
      </c>
      <c r="G17" s="13">
        <f t="shared" si="2"/>
        <v>5518524.3</v>
      </c>
      <c r="H17" s="13">
        <f t="shared" si="2"/>
        <v>3306167.66</v>
      </c>
    </row>
    <row r="18" ht="19.5" customHeight="1">
      <c r="A18" s="31"/>
      <c r="B18" s="24"/>
      <c r="C18" s="10"/>
      <c r="D18" s="10"/>
      <c r="E18" s="10"/>
      <c r="F18" s="10"/>
      <c r="G18" s="10"/>
      <c r="H18" s="13"/>
    </row>
    <row r="19" ht="19.5" customHeight="1">
      <c r="A19" s="31"/>
      <c r="B19" s="24"/>
      <c r="C19" s="10"/>
      <c r="D19" s="10"/>
      <c r="E19" s="10"/>
      <c r="F19" s="10"/>
      <c r="G19" s="10"/>
      <c r="H19" s="13"/>
    </row>
    <row r="20" ht="19.5" customHeight="1">
      <c r="A20" s="65"/>
      <c r="B20" s="53" t="s">
        <v>40</v>
      </c>
      <c r="C20" s="37" t="s">
        <v>12</v>
      </c>
      <c r="D20" s="35">
        <v>112500.0</v>
      </c>
      <c r="E20" s="35">
        <v>10500.0</v>
      </c>
      <c r="F20" s="57">
        <v>1629.51</v>
      </c>
      <c r="G20" s="57">
        <v>679830.0</v>
      </c>
      <c r="H20" s="13">
        <f t="shared" ref="H20:H31" si="3">sum(D20:F20)</f>
        <v>124629.51</v>
      </c>
    </row>
    <row r="21" ht="19.5" customHeight="1">
      <c r="A21" s="65"/>
      <c r="B21" s="54"/>
      <c r="C21" s="41" t="s">
        <v>13</v>
      </c>
      <c r="D21" s="50">
        <v>233000.0</v>
      </c>
      <c r="E21" s="50">
        <v>0.0</v>
      </c>
      <c r="F21" s="58">
        <v>4221.11</v>
      </c>
      <c r="G21" s="58">
        <v>415920.0</v>
      </c>
      <c r="H21" s="13">
        <f t="shared" si="3"/>
        <v>237221.11</v>
      </c>
    </row>
    <row r="22" ht="19.5" customHeight="1">
      <c r="A22" s="65"/>
      <c r="B22" s="55"/>
      <c r="C22" s="38" t="s">
        <v>14</v>
      </c>
      <c r="D22" s="35">
        <v>243500.0</v>
      </c>
      <c r="E22" s="35">
        <v>17500.0</v>
      </c>
      <c r="F22" s="35">
        <v>3542.21</v>
      </c>
      <c r="G22" s="35">
        <v>495920.0</v>
      </c>
      <c r="H22" s="13">
        <f t="shared" si="3"/>
        <v>264542.21</v>
      </c>
    </row>
    <row r="23" ht="19.5" customHeight="1">
      <c r="A23" s="65"/>
      <c r="B23" s="56"/>
      <c r="C23" s="11" t="s">
        <v>15</v>
      </c>
      <c r="D23" s="50">
        <v>251000.0</v>
      </c>
      <c r="E23" s="50">
        <v>9000.0</v>
      </c>
      <c r="F23" s="58">
        <v>4130.23</v>
      </c>
      <c r="G23" s="58">
        <v>2440582.0</v>
      </c>
      <c r="H23" s="13">
        <f t="shared" si="3"/>
        <v>264130.23</v>
      </c>
    </row>
    <row r="24" ht="19.5" customHeight="1">
      <c r="A24" s="65"/>
      <c r="B24" s="55"/>
      <c r="C24" s="44" t="s">
        <v>16</v>
      </c>
      <c r="D24" s="35">
        <v>243000.0</v>
      </c>
      <c r="E24" s="35">
        <v>0.0</v>
      </c>
      <c r="F24" s="35">
        <v>4500.0</v>
      </c>
      <c r="G24" s="35">
        <v>395920.0</v>
      </c>
      <c r="H24" s="13">
        <f t="shared" si="3"/>
        <v>247500</v>
      </c>
    </row>
    <row r="25" ht="19.5" customHeight="1">
      <c r="A25" s="65"/>
      <c r="B25" s="56"/>
      <c r="C25" s="11" t="s">
        <v>17</v>
      </c>
      <c r="D25" s="50">
        <v>82000.0</v>
      </c>
      <c r="E25" s="50">
        <v>0.0</v>
      </c>
      <c r="F25" s="58">
        <v>2330.93</v>
      </c>
      <c r="G25" s="58">
        <v>0.0</v>
      </c>
      <c r="H25" s="13">
        <f t="shared" si="3"/>
        <v>84330.93</v>
      </c>
    </row>
    <row r="26" ht="19.5" customHeight="1">
      <c r="A26" s="65"/>
      <c r="B26" s="55"/>
      <c r="C26" s="44" t="s">
        <v>18</v>
      </c>
      <c r="D26" s="35">
        <v>107000.0</v>
      </c>
      <c r="E26" s="35">
        <v>0.0</v>
      </c>
      <c r="F26" s="57">
        <v>2330.93</v>
      </c>
      <c r="G26" s="57">
        <v>0.0</v>
      </c>
      <c r="H26" s="13">
        <f t="shared" si="3"/>
        <v>109330.93</v>
      </c>
    </row>
    <row r="27" ht="19.5" customHeight="1">
      <c r="A27" s="65"/>
      <c r="B27" s="56"/>
      <c r="C27" s="11" t="s">
        <v>19</v>
      </c>
      <c r="D27" s="50">
        <v>336500.0</v>
      </c>
      <c r="E27" s="50">
        <v>16500.0</v>
      </c>
      <c r="F27" s="58">
        <v>10241.65</v>
      </c>
      <c r="G27" s="58">
        <v>0.0</v>
      </c>
      <c r="H27" s="13">
        <f t="shared" si="3"/>
        <v>363241.65</v>
      </c>
    </row>
    <row r="28" ht="19.5" customHeight="1">
      <c r="A28" s="65"/>
      <c r="B28" s="55"/>
      <c r="C28" s="44" t="s">
        <v>20</v>
      </c>
      <c r="D28" s="66">
        <v>182163.0</v>
      </c>
      <c r="E28" s="66">
        <v>16000.0</v>
      </c>
      <c r="F28" s="38">
        <v>0.0</v>
      </c>
      <c r="G28" s="38">
        <v>2000000.0</v>
      </c>
      <c r="H28" s="13">
        <f t="shared" si="3"/>
        <v>198163</v>
      </c>
    </row>
    <row r="29" ht="19.5" customHeight="1">
      <c r="A29" s="65"/>
      <c r="B29" s="56"/>
      <c r="C29" s="11" t="s">
        <v>21</v>
      </c>
      <c r="D29" s="50">
        <v>188000.0</v>
      </c>
      <c r="E29" s="50">
        <v>8000.0</v>
      </c>
      <c r="F29" s="50">
        <v>4500.0</v>
      </c>
      <c r="G29" s="50">
        <v>500000.0</v>
      </c>
      <c r="H29" s="13">
        <f t="shared" si="3"/>
        <v>200500</v>
      </c>
    </row>
    <row r="30" ht="19.5" customHeight="1">
      <c r="A30" s="65"/>
      <c r="B30" s="55"/>
      <c r="C30" s="44" t="s">
        <v>22</v>
      </c>
      <c r="D30" s="35">
        <v>201000.0</v>
      </c>
      <c r="E30" s="35">
        <v>13000.0</v>
      </c>
      <c r="F30" s="35">
        <v>4000.0</v>
      </c>
      <c r="G30" s="35">
        <v>0.0</v>
      </c>
      <c r="H30" s="13">
        <f t="shared" si="3"/>
        <v>218000</v>
      </c>
    </row>
    <row r="31" ht="19.5" customHeight="1">
      <c r="A31" s="65"/>
      <c r="B31" s="56"/>
      <c r="C31" s="11" t="s">
        <v>23</v>
      </c>
      <c r="D31" s="50">
        <v>205000.0</v>
      </c>
      <c r="E31" s="50">
        <v>0.0</v>
      </c>
      <c r="F31" s="50">
        <v>4360.75</v>
      </c>
      <c r="G31" s="50">
        <v>0.0</v>
      </c>
      <c r="H31" s="13">
        <f t="shared" si="3"/>
        <v>209360.75</v>
      </c>
    </row>
    <row r="32" ht="19.5" customHeight="1">
      <c r="A32" s="67"/>
      <c r="B32" s="60" t="s">
        <v>24</v>
      </c>
      <c r="C32" s="47"/>
      <c r="D32" s="61">
        <f t="shared" ref="D32:H32" si="4">sum(D20:D31)</f>
        <v>2384663</v>
      </c>
      <c r="E32" s="61">
        <f t="shared" si="4"/>
        <v>90500</v>
      </c>
      <c r="F32" s="68">
        <f t="shared" si="4"/>
        <v>45787.32</v>
      </c>
      <c r="G32" s="68">
        <f t="shared" si="4"/>
        <v>6928172</v>
      </c>
      <c r="H32" s="61">
        <f t="shared" si="4"/>
        <v>2520950.32</v>
      </c>
    </row>
    <row r="33" ht="19.5" customHeight="1">
      <c r="A33" s="67"/>
      <c r="B33" s="62"/>
      <c r="C33" s="47"/>
      <c r="D33" s="47"/>
      <c r="E33" s="47"/>
      <c r="F33" s="47"/>
      <c r="G33" s="47"/>
      <c r="H33" s="13"/>
    </row>
    <row r="34" ht="19.5" customHeight="1">
      <c r="A34" s="67"/>
      <c r="B34" s="62"/>
      <c r="C34" s="47"/>
      <c r="D34" s="47"/>
      <c r="E34" s="47"/>
      <c r="F34" s="47"/>
      <c r="G34" s="47"/>
      <c r="H34" s="13"/>
    </row>
    <row r="35" ht="19.5" customHeight="1">
      <c r="A35" s="65"/>
      <c r="B35" s="63" t="s">
        <v>41</v>
      </c>
      <c r="C35" s="44" t="s">
        <v>12</v>
      </c>
      <c r="D35" s="35">
        <v>142000.0</v>
      </c>
      <c r="E35" s="35">
        <v>0.0</v>
      </c>
      <c r="F35" s="35">
        <v>2200.0</v>
      </c>
      <c r="G35" s="35">
        <v>250000.0</v>
      </c>
      <c r="H35" s="13">
        <f t="shared" ref="H35:H46" si="5">sum(D35:F35)</f>
        <v>144200</v>
      </c>
    </row>
    <row r="36" ht="19.5" customHeight="1">
      <c r="A36" s="65"/>
      <c r="B36" s="56"/>
      <c r="C36" s="11" t="s">
        <v>13</v>
      </c>
      <c r="D36" s="50">
        <v>216000.0</v>
      </c>
      <c r="E36" s="50">
        <v>24000.0</v>
      </c>
      <c r="F36" s="50">
        <v>3200.0</v>
      </c>
      <c r="G36" s="50">
        <v>0.0</v>
      </c>
      <c r="H36" s="13">
        <f t="shared" si="5"/>
        <v>243200</v>
      </c>
    </row>
    <row r="37" ht="19.5" customHeight="1">
      <c r="A37" s="65"/>
      <c r="B37" s="55"/>
      <c r="C37" s="38" t="s">
        <v>14</v>
      </c>
      <c r="D37" s="35">
        <v>187000.0</v>
      </c>
      <c r="E37" s="35">
        <v>15000.0</v>
      </c>
      <c r="F37" s="35">
        <v>5200.0</v>
      </c>
      <c r="G37" s="35">
        <v>0.0</v>
      </c>
      <c r="H37" s="13">
        <f t="shared" si="5"/>
        <v>207200</v>
      </c>
    </row>
    <row r="38" ht="19.5" customHeight="1">
      <c r="A38" s="65"/>
      <c r="B38" s="56"/>
      <c r="C38" s="11" t="s">
        <v>15</v>
      </c>
      <c r="D38" s="50">
        <v>133500.0</v>
      </c>
      <c r="E38" s="50">
        <v>10500.0</v>
      </c>
      <c r="F38" s="50">
        <v>2060.0</v>
      </c>
      <c r="G38" s="50">
        <v>0.0</v>
      </c>
      <c r="H38" s="13">
        <f t="shared" si="5"/>
        <v>146060</v>
      </c>
    </row>
    <row r="39" ht="19.5" customHeight="1">
      <c r="A39" s="65"/>
      <c r="B39" s="55"/>
      <c r="C39" s="44" t="s">
        <v>16</v>
      </c>
      <c r="D39" s="35">
        <v>246000.0</v>
      </c>
      <c r="E39" s="35">
        <v>10000.0</v>
      </c>
      <c r="F39" s="35">
        <v>4970.0</v>
      </c>
      <c r="G39" s="35">
        <v>0.0</v>
      </c>
      <c r="H39" s="13">
        <f t="shared" si="5"/>
        <v>260970</v>
      </c>
    </row>
    <row r="40" ht="19.5" customHeight="1">
      <c r="A40" s="65"/>
      <c r="B40" s="56"/>
      <c r="C40" s="11" t="s">
        <v>17</v>
      </c>
      <c r="D40" s="50">
        <v>59000.0</v>
      </c>
      <c r="E40" s="50">
        <v>10000.0</v>
      </c>
      <c r="F40" s="50">
        <v>2200.0</v>
      </c>
      <c r="G40" s="50">
        <v>0.0</v>
      </c>
      <c r="H40" s="13">
        <f t="shared" si="5"/>
        <v>71200</v>
      </c>
    </row>
    <row r="41" ht="19.5" customHeight="1">
      <c r="A41" s="65"/>
      <c r="B41" s="55"/>
      <c r="C41" s="44" t="s">
        <v>18</v>
      </c>
      <c r="D41" s="35">
        <v>234000.0</v>
      </c>
      <c r="E41" s="35">
        <v>27000.0</v>
      </c>
      <c r="F41" s="35">
        <v>5960.0</v>
      </c>
      <c r="G41" s="35">
        <v>0.0</v>
      </c>
      <c r="H41" s="13">
        <f t="shared" si="5"/>
        <v>266960</v>
      </c>
    </row>
    <row r="42" ht="19.5" customHeight="1">
      <c r="A42" s="65"/>
      <c r="B42" s="56"/>
      <c r="C42" s="11" t="s">
        <v>19</v>
      </c>
      <c r="D42" s="50">
        <v>350000.0</v>
      </c>
      <c r="E42" s="50">
        <v>27000.0</v>
      </c>
      <c r="F42" s="50">
        <v>12980.0</v>
      </c>
      <c r="G42" s="50">
        <v>0.0</v>
      </c>
      <c r="H42" s="13">
        <f t="shared" si="5"/>
        <v>389980</v>
      </c>
    </row>
    <row r="43" ht="19.5" customHeight="1">
      <c r="A43" s="65"/>
      <c r="B43" s="55"/>
      <c r="C43" s="44" t="s">
        <v>20</v>
      </c>
      <c r="D43" s="35">
        <v>245000.0</v>
      </c>
      <c r="E43" s="38">
        <v>0.0</v>
      </c>
      <c r="F43" s="35">
        <v>4940.0</v>
      </c>
      <c r="G43" s="38">
        <v>0.0</v>
      </c>
      <c r="H43" s="13">
        <f t="shared" si="5"/>
        <v>249940</v>
      </c>
    </row>
    <row r="44" ht="19.5" customHeight="1">
      <c r="A44" s="65"/>
      <c r="B44" s="56"/>
      <c r="C44" s="11" t="s">
        <v>21</v>
      </c>
      <c r="D44" s="50">
        <v>282000.0</v>
      </c>
      <c r="E44" s="50">
        <v>10000.0</v>
      </c>
      <c r="F44" s="50">
        <v>6860.0</v>
      </c>
      <c r="G44" s="50">
        <v>0.0</v>
      </c>
      <c r="H44" s="13">
        <f t="shared" si="5"/>
        <v>298860</v>
      </c>
    </row>
    <row r="45" ht="19.5" customHeight="1">
      <c r="A45" s="65"/>
      <c r="B45" s="55"/>
      <c r="C45" s="44" t="s">
        <v>22</v>
      </c>
      <c r="D45" s="35">
        <v>188000.0</v>
      </c>
      <c r="E45" s="35">
        <v>0.0</v>
      </c>
      <c r="F45" s="35">
        <v>7620.0</v>
      </c>
      <c r="G45" s="35">
        <v>0.0</v>
      </c>
      <c r="H45" s="13">
        <f t="shared" si="5"/>
        <v>195620</v>
      </c>
    </row>
    <row r="46" ht="19.5" customHeight="1">
      <c r="A46" s="65"/>
      <c r="B46" s="56"/>
      <c r="C46" s="11" t="s">
        <v>23</v>
      </c>
      <c r="D46" s="50">
        <v>147000.0</v>
      </c>
      <c r="E46" s="50">
        <v>10000.0</v>
      </c>
      <c r="F46" s="50">
        <v>3910.0</v>
      </c>
      <c r="G46" s="50">
        <v>0.0</v>
      </c>
      <c r="H46" s="13">
        <f t="shared" si="5"/>
        <v>160910</v>
      </c>
    </row>
    <row r="47" ht="19.5" customHeight="1">
      <c r="A47" s="65"/>
      <c r="B47" s="64" t="s">
        <v>24</v>
      </c>
      <c r="C47" s="11"/>
      <c r="D47" s="50">
        <f t="shared" ref="D47:H47" si="6">SUM(D35:D46)</f>
        <v>2429500</v>
      </c>
      <c r="E47" s="50">
        <f t="shared" si="6"/>
        <v>143500</v>
      </c>
      <c r="F47" s="50">
        <f t="shared" si="6"/>
        <v>62100</v>
      </c>
      <c r="G47" s="50">
        <f t="shared" si="6"/>
        <v>250000</v>
      </c>
      <c r="H47" s="50">
        <f t="shared" si="6"/>
        <v>2635100</v>
      </c>
    </row>
    <row r="48" ht="19.5" customHeight="1">
      <c r="A48" s="65"/>
      <c r="B48" s="56"/>
      <c r="C48" s="11"/>
      <c r="D48" s="50"/>
      <c r="E48" s="50"/>
      <c r="F48" s="50"/>
      <c r="G48" s="50"/>
      <c r="H48" s="13"/>
    </row>
    <row r="49" ht="19.5" customHeight="1">
      <c r="A49" s="67"/>
      <c r="B49" s="62"/>
      <c r="C49" s="47"/>
      <c r="D49" s="47"/>
      <c r="E49" s="47"/>
      <c r="F49" s="47"/>
      <c r="G49" s="47"/>
      <c r="H49" s="13"/>
    </row>
    <row r="50" ht="19.5" customHeight="1">
      <c r="A50" s="65"/>
      <c r="B50" s="63" t="s">
        <v>42</v>
      </c>
      <c r="C50" s="44" t="s">
        <v>12</v>
      </c>
      <c r="D50" s="35">
        <v>181500.0</v>
      </c>
      <c r="E50" s="35">
        <v>106500.0</v>
      </c>
      <c r="F50" s="35">
        <v>11645.0</v>
      </c>
      <c r="G50" s="35">
        <v>0.0</v>
      </c>
      <c r="H50" s="13">
        <f t="shared" ref="H50:H61" si="7">sum(D50:F50)</f>
        <v>299645</v>
      </c>
    </row>
    <row r="51" ht="19.5" customHeight="1">
      <c r="A51" s="65"/>
      <c r="B51" s="56"/>
      <c r="C51" s="11" t="s">
        <v>13</v>
      </c>
      <c r="D51" s="50">
        <v>291500.0</v>
      </c>
      <c r="E51" s="50">
        <v>25500.0</v>
      </c>
      <c r="F51" s="50">
        <v>9235.0</v>
      </c>
      <c r="G51" s="50">
        <v>0.0</v>
      </c>
      <c r="H51" s="13">
        <f t="shared" si="7"/>
        <v>326235</v>
      </c>
    </row>
    <row r="52" ht="19.5" customHeight="1">
      <c r="A52" s="65"/>
      <c r="B52" s="55"/>
      <c r="C52" s="38" t="s">
        <v>14</v>
      </c>
      <c r="D52" s="35">
        <v>409500.0</v>
      </c>
      <c r="E52" s="35">
        <v>69500.0</v>
      </c>
      <c r="F52" s="35">
        <v>11310.0</v>
      </c>
      <c r="G52" s="35">
        <v>0.0</v>
      </c>
      <c r="H52" s="13">
        <f t="shared" si="7"/>
        <v>490310</v>
      </c>
    </row>
    <row r="53" ht="19.5" customHeight="1">
      <c r="A53" s="65"/>
      <c r="B53" s="56"/>
      <c r="C53" s="11" t="s">
        <v>15</v>
      </c>
      <c r="D53" s="50">
        <v>527000.0</v>
      </c>
      <c r="E53" s="41">
        <v>0.0</v>
      </c>
      <c r="F53" s="50">
        <v>11041.0</v>
      </c>
      <c r="G53" s="41">
        <v>0.0</v>
      </c>
      <c r="H53" s="13">
        <f t="shared" si="7"/>
        <v>538041</v>
      </c>
    </row>
    <row r="54" ht="19.5" customHeight="1">
      <c r="A54" s="65"/>
      <c r="B54" s="55"/>
      <c r="C54" s="44" t="s">
        <v>16</v>
      </c>
      <c r="D54" s="35">
        <v>408000.0</v>
      </c>
      <c r="E54" s="35">
        <v>0.0</v>
      </c>
      <c r="F54" s="35">
        <v>14275.0</v>
      </c>
      <c r="G54" s="35">
        <v>0.0</v>
      </c>
      <c r="H54" s="13">
        <f t="shared" si="7"/>
        <v>422275</v>
      </c>
    </row>
    <row r="55" ht="19.5" customHeight="1">
      <c r="A55" s="65"/>
      <c r="B55" s="56"/>
      <c r="C55" s="11" t="s">
        <v>17</v>
      </c>
      <c r="D55" s="50">
        <v>407000.0</v>
      </c>
      <c r="E55" s="35">
        <v>44000.0</v>
      </c>
      <c r="F55" s="50">
        <v>9490.0</v>
      </c>
      <c r="G55" s="41">
        <v>0.0</v>
      </c>
      <c r="H55" s="13">
        <f t="shared" si="7"/>
        <v>460490</v>
      </c>
    </row>
    <row r="56" ht="19.5" customHeight="1">
      <c r="A56" s="65"/>
      <c r="B56" s="55"/>
      <c r="C56" s="44" t="s">
        <v>18</v>
      </c>
      <c r="D56" s="35">
        <v>514000.0</v>
      </c>
      <c r="E56" s="35">
        <v>0.0</v>
      </c>
      <c r="F56" s="35">
        <v>11710.0</v>
      </c>
      <c r="G56" s="38">
        <v>0.0</v>
      </c>
      <c r="H56" s="13">
        <f t="shared" si="7"/>
        <v>525710</v>
      </c>
    </row>
    <row r="57" ht="19.5" customHeight="1">
      <c r="A57" s="65"/>
      <c r="B57" s="56"/>
      <c r="C57" s="11" t="s">
        <v>19</v>
      </c>
      <c r="D57" s="50">
        <v>455500.0</v>
      </c>
      <c r="E57" s="50">
        <v>48500.0</v>
      </c>
      <c r="F57" s="50">
        <v>27550.0</v>
      </c>
      <c r="G57" s="50">
        <v>0.0</v>
      </c>
      <c r="H57" s="13">
        <f t="shared" si="7"/>
        <v>531550</v>
      </c>
    </row>
    <row r="58" ht="19.5" customHeight="1">
      <c r="A58" s="65"/>
      <c r="B58" s="55"/>
      <c r="C58" s="44" t="s">
        <v>20</v>
      </c>
      <c r="D58" s="35">
        <v>347000.0</v>
      </c>
      <c r="E58" s="35">
        <v>52000.0</v>
      </c>
      <c r="F58" s="35">
        <v>17440.0</v>
      </c>
      <c r="G58" s="35">
        <v>0.0</v>
      </c>
      <c r="H58" s="13">
        <f t="shared" si="7"/>
        <v>416440</v>
      </c>
    </row>
    <row r="59" ht="19.5" customHeight="1">
      <c r="A59" s="65"/>
      <c r="B59" s="56"/>
      <c r="C59" s="11" t="s">
        <v>21</v>
      </c>
      <c r="D59" s="50">
        <v>424000.0</v>
      </c>
      <c r="E59" s="50">
        <v>0.0</v>
      </c>
      <c r="F59" s="50">
        <v>18700.0</v>
      </c>
      <c r="G59" s="50">
        <v>0.0</v>
      </c>
      <c r="H59" s="13">
        <f t="shared" si="7"/>
        <v>442700</v>
      </c>
    </row>
    <row r="60" ht="19.5" customHeight="1">
      <c r="A60" s="65"/>
      <c r="B60" s="55"/>
      <c r="C60" s="44" t="s">
        <v>22</v>
      </c>
      <c r="D60" s="35">
        <v>464500.0</v>
      </c>
      <c r="E60" s="35">
        <v>54500.0</v>
      </c>
      <c r="F60" s="35">
        <v>8265.0</v>
      </c>
      <c r="G60" s="35">
        <v>0.0</v>
      </c>
      <c r="H60" s="13">
        <f t="shared" si="7"/>
        <v>527265</v>
      </c>
    </row>
    <row r="61" ht="19.5" customHeight="1">
      <c r="A61" s="65"/>
      <c r="B61" s="56"/>
      <c r="C61" s="11" t="s">
        <v>23</v>
      </c>
      <c r="D61" s="50">
        <v>504000.0</v>
      </c>
      <c r="E61" s="50">
        <v>28000.0</v>
      </c>
      <c r="F61" s="50">
        <v>3280.0</v>
      </c>
      <c r="G61" s="50">
        <v>0.0</v>
      </c>
      <c r="H61" s="13">
        <f t="shared" si="7"/>
        <v>535280</v>
      </c>
    </row>
    <row r="62" ht="19.5" customHeight="1">
      <c r="A62" s="65"/>
      <c r="B62" s="64" t="s">
        <v>24</v>
      </c>
      <c r="C62" s="11"/>
      <c r="D62" s="50">
        <f t="shared" ref="D62:H62" si="8">SUM(D50:D61)</f>
        <v>4933500</v>
      </c>
      <c r="E62" s="50">
        <f t="shared" si="8"/>
        <v>428500</v>
      </c>
      <c r="F62" s="50">
        <f t="shared" si="8"/>
        <v>153941</v>
      </c>
      <c r="G62" s="50">
        <f t="shared" si="8"/>
        <v>0</v>
      </c>
      <c r="H62" s="50">
        <f t="shared" si="8"/>
        <v>5515941</v>
      </c>
    </row>
    <row r="63" ht="19.5" customHeight="1">
      <c r="A63" s="65"/>
      <c r="B63" s="64"/>
      <c r="C63" s="11"/>
      <c r="D63" s="50">
        <f t="shared" ref="D63:G63" si="9">sum(D32,D17, D47, D62)</f>
        <v>12792738</v>
      </c>
      <c r="E63" s="50">
        <f t="shared" si="9"/>
        <v>848000</v>
      </c>
      <c r="F63" s="50">
        <f t="shared" si="9"/>
        <v>337420.98</v>
      </c>
      <c r="G63" s="50">
        <f t="shared" si="9"/>
        <v>12696696.3</v>
      </c>
      <c r="H63" s="50">
        <f>sum(D63:G63)</f>
        <v>26674855.28</v>
      </c>
    </row>
  </sheetData>
  <mergeCells count="2">
    <mergeCell ref="B1:F1"/>
    <mergeCell ref="B3:H3"/>
  </mergeCell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7" width="32.63"/>
    <col customWidth="1" min="8" max="8" width="24.63"/>
  </cols>
  <sheetData>
    <row r="1" ht="70.5" customHeight="1">
      <c r="A1" s="27"/>
      <c r="B1" s="34" t="s">
        <v>0</v>
      </c>
      <c r="G1" s="34"/>
      <c r="H1" s="69">
        <v>2022.0</v>
      </c>
    </row>
    <row r="2" ht="12.0" customHeight="1">
      <c r="A2" s="27"/>
      <c r="B2" s="18"/>
      <c r="C2" s="18"/>
      <c r="D2" s="18"/>
      <c r="E2" s="18"/>
      <c r="F2" s="18"/>
      <c r="G2" s="18"/>
      <c r="H2" s="18"/>
    </row>
    <row r="3" ht="30.0" customHeight="1">
      <c r="A3" s="28"/>
      <c r="B3" s="20"/>
    </row>
    <row r="4" ht="24.0" customHeight="1">
      <c r="A4" s="29"/>
      <c r="B4" s="22" t="s">
        <v>8</v>
      </c>
      <c r="C4" s="22" t="s">
        <v>9</v>
      </c>
      <c r="D4" s="22" t="s">
        <v>10</v>
      </c>
      <c r="E4" s="22" t="s">
        <v>28</v>
      </c>
      <c r="F4" s="22" t="s">
        <v>29</v>
      </c>
      <c r="G4" s="70" t="s">
        <v>30</v>
      </c>
      <c r="H4" s="70" t="s">
        <v>6</v>
      </c>
    </row>
    <row r="5" ht="21.0" customHeight="1">
      <c r="A5" s="31"/>
      <c r="B5" s="24" t="s">
        <v>43</v>
      </c>
      <c r="C5" s="10" t="s">
        <v>12</v>
      </c>
      <c r="D5" s="13">
        <v>103000.0</v>
      </c>
      <c r="E5" s="13">
        <v>9000.0</v>
      </c>
      <c r="F5" s="32">
        <v>3474.61</v>
      </c>
      <c r="G5" s="32">
        <v>0.0</v>
      </c>
      <c r="H5" s="13">
        <f t="shared" ref="H5:H16" si="1">sum(D5:F5)</f>
        <v>115474.61</v>
      </c>
    </row>
    <row r="6" ht="21.0" customHeight="1">
      <c r="A6" s="31"/>
      <c r="B6" s="24"/>
      <c r="C6" s="10" t="s">
        <v>13</v>
      </c>
      <c r="D6" s="13">
        <v>94000.0</v>
      </c>
      <c r="E6" s="13">
        <v>0.0</v>
      </c>
      <c r="F6" s="13">
        <v>7600.0</v>
      </c>
      <c r="G6" s="13">
        <v>0.0</v>
      </c>
      <c r="H6" s="13">
        <f t="shared" si="1"/>
        <v>101600</v>
      </c>
    </row>
    <row r="7" ht="21.0" customHeight="1">
      <c r="A7" s="31"/>
      <c r="B7" s="24"/>
      <c r="C7" s="10" t="s">
        <v>14</v>
      </c>
      <c r="D7" s="13">
        <v>118000.0</v>
      </c>
      <c r="E7" s="13">
        <v>20000.0</v>
      </c>
      <c r="F7" s="13">
        <v>8000.0</v>
      </c>
      <c r="G7" s="13">
        <v>0.0</v>
      </c>
      <c r="H7" s="13">
        <f t="shared" si="1"/>
        <v>146000</v>
      </c>
    </row>
    <row r="8" ht="21.0" customHeight="1">
      <c r="A8" s="31"/>
      <c r="B8" s="24"/>
      <c r="C8" s="10" t="s">
        <v>15</v>
      </c>
      <c r="D8" s="13">
        <v>112000.0</v>
      </c>
      <c r="E8" s="13">
        <v>0.0</v>
      </c>
      <c r="F8" s="32">
        <v>4186.49</v>
      </c>
      <c r="G8" s="32">
        <v>0.0</v>
      </c>
      <c r="H8" s="13">
        <f t="shared" si="1"/>
        <v>116186.49</v>
      </c>
    </row>
    <row r="9" ht="21.0" customHeight="1">
      <c r="A9" s="31"/>
      <c r="B9" s="24"/>
      <c r="C9" s="10" t="s">
        <v>16</v>
      </c>
      <c r="D9" s="13">
        <v>73000.0</v>
      </c>
      <c r="E9" s="13">
        <v>0.0</v>
      </c>
      <c r="F9" s="13">
        <v>6000.0</v>
      </c>
      <c r="G9" s="13">
        <v>0.0</v>
      </c>
      <c r="H9" s="13">
        <f t="shared" si="1"/>
        <v>79000</v>
      </c>
    </row>
    <row r="10" ht="21.0" customHeight="1">
      <c r="A10" s="31"/>
      <c r="B10" s="24"/>
      <c r="C10" s="10" t="s">
        <v>17</v>
      </c>
      <c r="D10" s="13">
        <v>173000.0</v>
      </c>
      <c r="E10" s="13">
        <v>0.0</v>
      </c>
      <c r="F10" s="32">
        <v>7578.18</v>
      </c>
      <c r="G10" s="10">
        <v>721633.0</v>
      </c>
      <c r="H10" s="13">
        <f t="shared" si="1"/>
        <v>180578.18</v>
      </c>
    </row>
    <row r="11" ht="21.0" customHeight="1">
      <c r="A11" s="31"/>
      <c r="B11" s="24"/>
      <c r="C11" s="10" t="s">
        <v>18</v>
      </c>
      <c r="D11" s="13">
        <v>77000.0</v>
      </c>
      <c r="E11" s="13">
        <v>0.0</v>
      </c>
      <c r="F11" s="10">
        <v>2223.09</v>
      </c>
      <c r="G11" s="10">
        <v>0.0</v>
      </c>
      <c r="H11" s="13">
        <f t="shared" si="1"/>
        <v>79223.09</v>
      </c>
    </row>
    <row r="12" ht="21.0" customHeight="1">
      <c r="A12" s="31"/>
      <c r="B12" s="24"/>
      <c r="C12" s="10" t="s">
        <v>19</v>
      </c>
      <c r="D12" s="13">
        <v>46000.0</v>
      </c>
      <c r="E12" s="13">
        <v>0.0</v>
      </c>
      <c r="F12" s="13">
        <v>4500.0</v>
      </c>
      <c r="G12" s="13">
        <v>0.0</v>
      </c>
      <c r="H12" s="13">
        <f t="shared" si="1"/>
        <v>50500</v>
      </c>
    </row>
    <row r="13" ht="19.5" customHeight="1">
      <c r="A13" s="31"/>
      <c r="B13" s="24"/>
      <c r="C13" s="10" t="s">
        <v>20</v>
      </c>
      <c r="D13" s="13">
        <v>65000.0</v>
      </c>
      <c r="E13" s="13">
        <v>20000.0</v>
      </c>
      <c r="F13" s="13">
        <v>8500.0</v>
      </c>
      <c r="G13" s="13">
        <v>0.0</v>
      </c>
      <c r="H13" s="13">
        <f t="shared" si="1"/>
        <v>93500</v>
      </c>
    </row>
    <row r="14" ht="19.5" customHeight="1">
      <c r="A14" s="31"/>
      <c r="B14" s="24"/>
      <c r="C14" s="10" t="s">
        <v>21</v>
      </c>
      <c r="D14" s="13">
        <v>125000.0</v>
      </c>
      <c r="E14" s="13">
        <v>10000.0</v>
      </c>
      <c r="F14" s="32">
        <v>9445.69</v>
      </c>
      <c r="G14" s="32">
        <v>0.0</v>
      </c>
      <c r="H14" s="13">
        <f t="shared" si="1"/>
        <v>144445.69</v>
      </c>
    </row>
    <row r="15" ht="19.5" customHeight="1">
      <c r="A15" s="31"/>
      <c r="B15" s="24"/>
      <c r="C15" s="10" t="s">
        <v>22</v>
      </c>
      <c r="D15" s="13">
        <v>83000.0</v>
      </c>
      <c r="E15" s="13">
        <v>10000.0</v>
      </c>
      <c r="F15" s="13">
        <v>1000.0</v>
      </c>
      <c r="G15" s="13">
        <v>0.0</v>
      </c>
      <c r="H15" s="13">
        <f t="shared" si="1"/>
        <v>94000</v>
      </c>
    </row>
    <row r="16" ht="19.5" customHeight="1">
      <c r="A16" s="31"/>
      <c r="B16" s="24"/>
      <c r="C16" s="10" t="s">
        <v>23</v>
      </c>
      <c r="D16" s="13">
        <v>90000.0</v>
      </c>
      <c r="E16" s="13">
        <v>0.0</v>
      </c>
      <c r="F16" s="13">
        <v>5500.0</v>
      </c>
      <c r="G16" s="13">
        <v>160000.0</v>
      </c>
      <c r="H16" s="13">
        <f t="shared" si="1"/>
        <v>95500</v>
      </c>
    </row>
    <row r="17" ht="19.5" customHeight="1">
      <c r="A17" s="31"/>
      <c r="B17" s="25" t="s">
        <v>24</v>
      </c>
      <c r="C17" s="10"/>
      <c r="D17" s="13">
        <f t="shared" ref="D17:H17" si="2">SUM(D5:D16)</f>
        <v>1159000</v>
      </c>
      <c r="E17" s="13">
        <f t="shared" si="2"/>
        <v>69000</v>
      </c>
      <c r="F17" s="32">
        <f t="shared" si="2"/>
        <v>68008.06</v>
      </c>
      <c r="G17" s="32">
        <f t="shared" si="2"/>
        <v>881633</v>
      </c>
      <c r="H17" s="13">
        <f t="shared" si="2"/>
        <v>1296008.06</v>
      </c>
    </row>
    <row r="18" ht="19.5" customHeight="1">
      <c r="A18" s="31"/>
      <c r="B18" s="24"/>
      <c r="C18" s="10"/>
      <c r="D18" s="10"/>
      <c r="E18" s="10"/>
      <c r="F18" s="10"/>
      <c r="G18" s="71"/>
      <c r="H18" s="10"/>
    </row>
    <row r="19" ht="19.5" customHeight="1">
      <c r="A19" s="31"/>
      <c r="B19" s="24"/>
      <c r="C19" s="10"/>
      <c r="D19" s="10"/>
      <c r="E19" s="10"/>
      <c r="F19" s="10"/>
      <c r="G19" s="71"/>
      <c r="H19" s="10"/>
    </row>
    <row r="20" ht="19.5" customHeight="1">
      <c r="A20" s="65"/>
      <c r="B20" s="53" t="s">
        <v>44</v>
      </c>
      <c r="C20" s="37" t="s">
        <v>12</v>
      </c>
      <c r="D20" s="35">
        <v>158000.0</v>
      </c>
      <c r="E20" s="35">
        <v>10000.0</v>
      </c>
      <c r="F20" s="57">
        <v>3680.71</v>
      </c>
      <c r="G20" s="57">
        <v>595920.0</v>
      </c>
      <c r="H20" s="13">
        <f t="shared" ref="H20:H23" si="3">sum(D20:F20)</f>
        <v>171680.71</v>
      </c>
    </row>
    <row r="21" ht="19.5" customHeight="1">
      <c r="A21" s="65"/>
      <c r="B21" s="54"/>
      <c r="C21" s="40" t="s">
        <v>13</v>
      </c>
      <c r="D21" s="50">
        <v>150000.0</v>
      </c>
      <c r="E21" s="50">
        <v>0.0</v>
      </c>
      <c r="F21" s="50">
        <v>4750.0</v>
      </c>
      <c r="G21" s="50">
        <v>345920.0</v>
      </c>
      <c r="H21" s="13">
        <f t="shared" si="3"/>
        <v>154750</v>
      </c>
    </row>
    <row r="22" ht="19.5" customHeight="1">
      <c r="A22" s="65"/>
      <c r="B22" s="55"/>
      <c r="C22" s="38" t="s">
        <v>14</v>
      </c>
      <c r="D22" s="35">
        <v>134500.0</v>
      </c>
      <c r="E22" s="35">
        <v>20500.0</v>
      </c>
      <c r="F22" s="35">
        <v>7000.0</v>
      </c>
      <c r="G22" s="35">
        <v>826070.0</v>
      </c>
      <c r="H22" s="13">
        <f t="shared" si="3"/>
        <v>162000</v>
      </c>
    </row>
    <row r="23" ht="19.5" customHeight="1">
      <c r="A23" s="65"/>
      <c r="B23" s="56"/>
      <c r="C23" s="11" t="s">
        <v>15</v>
      </c>
      <c r="D23" s="50">
        <v>221000.0</v>
      </c>
      <c r="E23" s="50">
        <v>25000.0</v>
      </c>
      <c r="F23" s="58">
        <v>5929.06</v>
      </c>
      <c r="G23" s="58">
        <v>1486345.0</v>
      </c>
      <c r="H23" s="13">
        <f t="shared" si="3"/>
        <v>251929.06</v>
      </c>
    </row>
    <row r="24" ht="19.5" customHeight="1">
      <c r="A24" s="65"/>
      <c r="B24" s="55"/>
      <c r="C24" s="44" t="s">
        <v>16</v>
      </c>
      <c r="D24" s="35">
        <v>177000.0</v>
      </c>
      <c r="E24" s="35">
        <v>0.0</v>
      </c>
      <c r="F24" s="57">
        <v>7936.97</v>
      </c>
      <c r="G24" s="72">
        <v>195920.0</v>
      </c>
      <c r="H24" s="13">
        <f>sum(D24:G24)</f>
        <v>380856.97</v>
      </c>
    </row>
    <row r="25" ht="19.5" customHeight="1">
      <c r="A25" s="65"/>
      <c r="B25" s="56"/>
      <c r="C25" s="11" t="s">
        <v>17</v>
      </c>
      <c r="D25" s="50">
        <v>123000.0</v>
      </c>
      <c r="E25" s="50">
        <v>21000.0</v>
      </c>
      <c r="F25" s="50">
        <v>8492.0</v>
      </c>
      <c r="G25" s="50">
        <v>1092911.0</v>
      </c>
      <c r="H25" s="13">
        <f t="shared" ref="H25:H31" si="4">sum(D25:F25)</f>
        <v>152492</v>
      </c>
    </row>
    <row r="26" ht="19.5" customHeight="1">
      <c r="A26" s="65"/>
      <c r="B26" s="55"/>
      <c r="C26" s="44" t="s">
        <v>18</v>
      </c>
      <c r="D26" s="35">
        <v>148000.0</v>
      </c>
      <c r="E26" s="35">
        <v>0.0</v>
      </c>
      <c r="F26" s="57">
        <v>2108.13</v>
      </c>
      <c r="G26" s="57">
        <v>696770.0</v>
      </c>
      <c r="H26" s="13">
        <f t="shared" si="4"/>
        <v>150108.13</v>
      </c>
    </row>
    <row r="27" ht="19.5" customHeight="1">
      <c r="A27" s="65"/>
      <c r="B27" s="56"/>
      <c r="C27" s="11" t="s">
        <v>19</v>
      </c>
      <c r="D27" s="50">
        <v>148000.0</v>
      </c>
      <c r="E27" s="50">
        <v>0.0</v>
      </c>
      <c r="F27" s="58">
        <v>3315.43</v>
      </c>
      <c r="G27" s="58">
        <v>195920.0</v>
      </c>
      <c r="H27" s="13">
        <f t="shared" si="4"/>
        <v>151315.43</v>
      </c>
    </row>
    <row r="28" ht="19.5" customHeight="1">
      <c r="A28" s="65"/>
      <c r="B28" s="55"/>
      <c r="C28" s="44" t="s">
        <v>20</v>
      </c>
      <c r="D28" s="35">
        <v>160000.0</v>
      </c>
      <c r="E28" s="35">
        <v>0.0</v>
      </c>
      <c r="F28" s="57">
        <v>3104.13</v>
      </c>
      <c r="G28" s="57">
        <v>698874.0</v>
      </c>
      <c r="H28" s="13">
        <f t="shared" si="4"/>
        <v>163104.13</v>
      </c>
    </row>
    <row r="29" ht="19.5" customHeight="1">
      <c r="A29" s="65"/>
      <c r="B29" s="56"/>
      <c r="C29" s="11" t="s">
        <v>21</v>
      </c>
      <c r="D29" s="50">
        <v>317000.0</v>
      </c>
      <c r="E29" s="50">
        <v>12000.0</v>
      </c>
      <c r="F29" s="58">
        <v>8889.7</v>
      </c>
      <c r="G29" s="58">
        <v>1133289.0</v>
      </c>
      <c r="H29" s="13">
        <f t="shared" si="4"/>
        <v>337889.7</v>
      </c>
    </row>
    <row r="30" ht="19.5" customHeight="1">
      <c r="A30" s="65"/>
      <c r="B30" s="55"/>
      <c r="C30" s="44" t="s">
        <v>22</v>
      </c>
      <c r="D30" s="35">
        <v>110000.0</v>
      </c>
      <c r="E30" s="35">
        <v>7000.0</v>
      </c>
      <c r="F30" s="38">
        <v>900.0</v>
      </c>
      <c r="G30" s="38">
        <v>669224.0</v>
      </c>
      <c r="H30" s="13">
        <f t="shared" si="4"/>
        <v>117900</v>
      </c>
    </row>
    <row r="31" ht="19.5" customHeight="1">
      <c r="A31" s="65"/>
      <c r="B31" s="56"/>
      <c r="C31" s="11" t="s">
        <v>23</v>
      </c>
      <c r="D31" s="50">
        <v>102000.0</v>
      </c>
      <c r="E31" s="50">
        <v>0.0</v>
      </c>
      <c r="F31" s="58">
        <v>4442.82</v>
      </c>
      <c r="G31" s="58">
        <v>942920.0</v>
      </c>
      <c r="H31" s="13">
        <f t="shared" si="4"/>
        <v>106442.82</v>
      </c>
    </row>
    <row r="32" ht="19.5" customHeight="1">
      <c r="A32" s="67"/>
      <c r="B32" s="60" t="s">
        <v>24</v>
      </c>
      <c r="C32" s="47"/>
      <c r="D32" s="61">
        <f t="shared" ref="D32:H32" si="5">sum(D20:D31)</f>
        <v>1948500</v>
      </c>
      <c r="E32" s="61">
        <f t="shared" si="5"/>
        <v>95500</v>
      </c>
      <c r="F32" s="68">
        <f t="shared" si="5"/>
        <v>60548.95</v>
      </c>
      <c r="G32" s="68">
        <f t="shared" si="5"/>
        <v>8880083</v>
      </c>
      <c r="H32" s="61">
        <f t="shared" si="5"/>
        <v>2300468.95</v>
      </c>
    </row>
    <row r="33" ht="19.5" customHeight="1">
      <c r="A33" s="67"/>
      <c r="B33" s="62"/>
      <c r="C33" s="47"/>
      <c r="D33" s="47"/>
      <c r="E33" s="47"/>
      <c r="F33" s="47"/>
      <c r="G33" s="47"/>
      <c r="H33" s="10"/>
    </row>
    <row r="34" ht="19.5" customHeight="1">
      <c r="A34" s="67"/>
      <c r="B34" s="62"/>
      <c r="C34" s="47"/>
      <c r="D34" s="47"/>
      <c r="E34" s="47"/>
      <c r="F34" s="47"/>
      <c r="G34" s="47"/>
      <c r="H34" s="10"/>
    </row>
    <row r="35" ht="19.5" customHeight="1">
      <c r="A35" s="65"/>
      <c r="B35" s="63" t="s">
        <v>45</v>
      </c>
      <c r="C35" s="44" t="s">
        <v>12</v>
      </c>
      <c r="D35" s="35">
        <v>197000.0</v>
      </c>
      <c r="E35" s="35">
        <v>10000.0</v>
      </c>
      <c r="F35" s="35">
        <v>6900.0</v>
      </c>
      <c r="G35" s="35">
        <v>0.0</v>
      </c>
      <c r="H35" s="13">
        <f t="shared" ref="H35:H46" si="6">sum(D35:F35)</f>
        <v>213900</v>
      </c>
    </row>
    <row r="36" ht="19.5" customHeight="1">
      <c r="A36" s="65"/>
      <c r="B36" s="56"/>
      <c r="C36" s="11" t="s">
        <v>13</v>
      </c>
      <c r="D36" s="50">
        <v>230000.0</v>
      </c>
      <c r="E36" s="50">
        <v>0.0</v>
      </c>
      <c r="F36" s="50">
        <v>7056.0</v>
      </c>
      <c r="G36" s="50">
        <v>0.0</v>
      </c>
      <c r="H36" s="13">
        <f t="shared" si="6"/>
        <v>237056</v>
      </c>
    </row>
    <row r="37" ht="19.5" customHeight="1">
      <c r="A37" s="65"/>
      <c r="B37" s="55"/>
      <c r="C37" s="38" t="s">
        <v>14</v>
      </c>
      <c r="D37" s="35">
        <v>240500.0</v>
      </c>
      <c r="E37" s="35">
        <v>12500.0</v>
      </c>
      <c r="F37" s="35">
        <v>11015.45</v>
      </c>
      <c r="G37" s="35">
        <v>0.0</v>
      </c>
      <c r="H37" s="13">
        <f t="shared" si="6"/>
        <v>264015.45</v>
      </c>
    </row>
    <row r="38" ht="19.5" customHeight="1">
      <c r="A38" s="65"/>
      <c r="B38" s="56"/>
      <c r="C38" s="11" t="s">
        <v>15</v>
      </c>
      <c r="D38" s="50">
        <v>265000.0</v>
      </c>
      <c r="E38" s="50">
        <v>10000.0</v>
      </c>
      <c r="F38" s="50">
        <v>14108.0</v>
      </c>
      <c r="G38" s="50">
        <v>0.0</v>
      </c>
      <c r="H38" s="13">
        <f t="shared" si="6"/>
        <v>289108</v>
      </c>
    </row>
    <row r="39" ht="19.5" customHeight="1">
      <c r="A39" s="65"/>
      <c r="B39" s="55"/>
      <c r="C39" s="44" t="s">
        <v>16</v>
      </c>
      <c r="D39" s="35">
        <v>219500.0</v>
      </c>
      <c r="E39" s="35">
        <v>12500.0</v>
      </c>
      <c r="F39" s="57">
        <v>6355.2</v>
      </c>
      <c r="G39" s="57">
        <v>0.0</v>
      </c>
      <c r="H39" s="13">
        <f t="shared" si="6"/>
        <v>238355.2</v>
      </c>
    </row>
    <row r="40" ht="19.5" customHeight="1">
      <c r="A40" s="65"/>
      <c r="B40" s="56"/>
      <c r="C40" s="11" t="s">
        <v>17</v>
      </c>
      <c r="D40" s="50">
        <v>259000.0</v>
      </c>
      <c r="E40" s="50">
        <v>0.0</v>
      </c>
      <c r="F40" s="50">
        <v>8551.0</v>
      </c>
      <c r="G40" s="50">
        <v>0.0</v>
      </c>
      <c r="H40" s="13">
        <f t="shared" si="6"/>
        <v>267551</v>
      </c>
    </row>
    <row r="41" ht="19.5" customHeight="1">
      <c r="A41" s="65"/>
      <c r="B41" s="55"/>
      <c r="C41" s="44" t="s">
        <v>18</v>
      </c>
      <c r="D41" s="35">
        <v>238500.0</v>
      </c>
      <c r="E41" s="35">
        <v>12500.0</v>
      </c>
      <c r="F41" s="35">
        <v>13500.0</v>
      </c>
      <c r="G41" s="35">
        <v>0.0</v>
      </c>
      <c r="H41" s="13">
        <f t="shared" si="6"/>
        <v>264500</v>
      </c>
    </row>
    <row r="42" ht="19.5" customHeight="1">
      <c r="A42" s="65"/>
      <c r="B42" s="56"/>
      <c r="C42" s="11" t="s">
        <v>19</v>
      </c>
      <c r="D42" s="50">
        <v>306500.0</v>
      </c>
      <c r="E42" s="50">
        <v>25500.0</v>
      </c>
      <c r="F42" s="50">
        <v>9200.0</v>
      </c>
      <c r="G42" s="50">
        <v>0.0</v>
      </c>
      <c r="H42" s="13">
        <f t="shared" si="6"/>
        <v>341200</v>
      </c>
    </row>
    <row r="43" ht="19.5" customHeight="1">
      <c r="A43" s="65"/>
      <c r="B43" s="55"/>
      <c r="C43" s="44" t="s">
        <v>20</v>
      </c>
      <c r="D43" s="35">
        <v>429000.0</v>
      </c>
      <c r="E43" s="35">
        <v>0.0</v>
      </c>
      <c r="F43" s="35">
        <v>9900.0</v>
      </c>
      <c r="G43" s="35">
        <v>0.0</v>
      </c>
      <c r="H43" s="13">
        <f t="shared" si="6"/>
        <v>438900</v>
      </c>
    </row>
    <row r="44" ht="19.5" customHeight="1">
      <c r="A44" s="65"/>
      <c r="B44" s="56"/>
      <c r="C44" s="11" t="s">
        <v>21</v>
      </c>
      <c r="D44" s="50">
        <v>286000.0</v>
      </c>
      <c r="E44" s="50">
        <v>0.0</v>
      </c>
      <c r="F44" s="50">
        <v>12800.0</v>
      </c>
      <c r="G44" s="50">
        <v>0.0</v>
      </c>
      <c r="H44" s="13">
        <f t="shared" si="6"/>
        <v>298800</v>
      </c>
    </row>
    <row r="45" ht="19.5" customHeight="1">
      <c r="A45" s="65"/>
      <c r="B45" s="55"/>
      <c r="C45" s="44" t="s">
        <v>22</v>
      </c>
      <c r="D45" s="35">
        <v>188500.0</v>
      </c>
      <c r="E45" s="35">
        <v>12500.0</v>
      </c>
      <c r="F45" s="35">
        <v>5000.0</v>
      </c>
      <c r="G45" s="35">
        <v>0.0</v>
      </c>
      <c r="H45" s="13">
        <f t="shared" si="6"/>
        <v>206000</v>
      </c>
    </row>
    <row r="46" ht="19.5" customHeight="1">
      <c r="A46" s="65"/>
      <c r="B46" s="56"/>
      <c r="C46" s="11" t="s">
        <v>23</v>
      </c>
      <c r="D46" s="50">
        <v>165000.0</v>
      </c>
      <c r="E46" s="50">
        <v>10000.0</v>
      </c>
      <c r="F46" s="50">
        <v>6200.0</v>
      </c>
      <c r="G46" s="50">
        <v>0.0</v>
      </c>
      <c r="H46" s="13">
        <f t="shared" si="6"/>
        <v>181200</v>
      </c>
    </row>
    <row r="47" ht="19.5" customHeight="1">
      <c r="A47" s="67"/>
      <c r="B47" s="60" t="s">
        <v>24</v>
      </c>
      <c r="C47" s="47"/>
      <c r="D47" s="61">
        <f t="shared" ref="D47:H47" si="7">SUM(D35:D46)</f>
        <v>3024500</v>
      </c>
      <c r="E47" s="61">
        <f t="shared" si="7"/>
        <v>105500</v>
      </c>
      <c r="F47" s="61">
        <f t="shared" si="7"/>
        <v>110585.65</v>
      </c>
      <c r="G47" s="61">
        <f t="shared" si="7"/>
        <v>0</v>
      </c>
      <c r="H47" s="61">
        <f t="shared" si="7"/>
        <v>3240585.65</v>
      </c>
    </row>
    <row r="48" ht="19.5" customHeight="1">
      <c r="A48" s="67"/>
      <c r="B48" s="62"/>
      <c r="C48" s="47"/>
      <c r="D48" s="47"/>
      <c r="E48" s="47"/>
      <c r="F48" s="47"/>
      <c r="G48" s="47"/>
      <c r="H48" s="10"/>
    </row>
    <row r="49" ht="19.5" customHeight="1">
      <c r="A49" s="67"/>
      <c r="B49" s="62"/>
      <c r="C49" s="47"/>
      <c r="D49" s="47"/>
      <c r="E49" s="47"/>
      <c r="F49" s="47"/>
      <c r="G49" s="47"/>
      <c r="H49" s="10"/>
    </row>
    <row r="50" ht="19.5" customHeight="1">
      <c r="A50" s="65"/>
      <c r="B50" s="63" t="s">
        <v>46</v>
      </c>
      <c r="C50" s="44"/>
      <c r="D50" s="44"/>
      <c r="E50" s="44"/>
      <c r="F50" s="44"/>
      <c r="G50" s="44"/>
      <c r="H50" s="10"/>
    </row>
    <row r="51" ht="19.5" customHeight="1">
      <c r="A51" s="65"/>
      <c r="B51" s="56"/>
      <c r="C51" s="11" t="s">
        <v>21</v>
      </c>
      <c r="D51" s="50">
        <v>103000.0</v>
      </c>
      <c r="E51" s="50">
        <v>43000.0</v>
      </c>
      <c r="F51" s="50">
        <v>2001.0</v>
      </c>
      <c r="G51" s="50">
        <v>0.0</v>
      </c>
      <c r="H51" s="13">
        <f>sum(D51:F51)</f>
        <v>148001</v>
      </c>
    </row>
    <row r="52" ht="19.5" customHeight="1">
      <c r="A52" s="65"/>
      <c r="B52" s="55"/>
      <c r="C52" s="44" t="s">
        <v>22</v>
      </c>
      <c r="D52" s="35">
        <v>216000.0</v>
      </c>
      <c r="E52" s="35">
        <v>83000.0</v>
      </c>
      <c r="F52" s="35">
        <v>0.0</v>
      </c>
      <c r="G52" s="35">
        <v>0.0</v>
      </c>
      <c r="H52" s="13">
        <v>299000.0</v>
      </c>
    </row>
    <row r="53" ht="19.5" customHeight="1">
      <c r="A53" s="65"/>
      <c r="B53" s="56"/>
      <c r="C53" s="11" t="s">
        <v>23</v>
      </c>
      <c r="D53" s="35">
        <v>201000.0</v>
      </c>
      <c r="E53" s="35">
        <v>70000.0</v>
      </c>
      <c r="F53" s="35">
        <v>9985.0</v>
      </c>
      <c r="G53" s="35">
        <v>0.0</v>
      </c>
      <c r="H53" s="13">
        <f>sum(D53:F53)</f>
        <v>280985</v>
      </c>
    </row>
    <row r="54" ht="19.5" customHeight="1">
      <c r="A54" s="65"/>
      <c r="B54" s="64" t="s">
        <v>24</v>
      </c>
      <c r="C54" s="11"/>
      <c r="D54" s="35">
        <f t="shared" ref="D54:H54" si="8">SUM(D51:D53)</f>
        <v>520000</v>
      </c>
      <c r="E54" s="35">
        <f t="shared" si="8"/>
        <v>196000</v>
      </c>
      <c r="F54" s="35">
        <f t="shared" si="8"/>
        <v>11986</v>
      </c>
      <c r="G54" s="35">
        <f t="shared" si="8"/>
        <v>0</v>
      </c>
      <c r="H54" s="35">
        <f t="shared" si="8"/>
        <v>727986</v>
      </c>
    </row>
    <row r="55" ht="19.5" customHeight="1">
      <c r="A55" s="65"/>
      <c r="B55" s="64"/>
      <c r="C55" s="11"/>
      <c r="D55" s="35">
        <f t="shared" ref="D55:G55" si="9">sum(D32,D17, D47, D54)</f>
        <v>6652000</v>
      </c>
      <c r="E55" s="35">
        <f t="shared" si="9"/>
        <v>466000</v>
      </c>
      <c r="F55" s="35">
        <f t="shared" si="9"/>
        <v>251128.66</v>
      </c>
      <c r="G55" s="35">
        <f t="shared" si="9"/>
        <v>9761716</v>
      </c>
      <c r="H55" s="35">
        <f>sum(D55:G55)</f>
        <v>17130844.66</v>
      </c>
    </row>
  </sheetData>
  <mergeCells count="2">
    <mergeCell ref="B1:F1"/>
    <mergeCell ref="B3:H3"/>
  </mergeCell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7" width="32.63"/>
    <col customWidth="1" min="8" max="8" width="24.63"/>
  </cols>
  <sheetData>
    <row r="1" ht="70.5" customHeight="1">
      <c r="A1" s="17"/>
      <c r="B1" s="34" t="s">
        <v>0</v>
      </c>
      <c r="G1" s="34"/>
      <c r="H1" s="69">
        <v>2021.0</v>
      </c>
    </row>
    <row r="2" ht="12.0" customHeight="1">
      <c r="A2" s="17"/>
      <c r="B2" s="18"/>
      <c r="C2" s="18"/>
      <c r="D2" s="18"/>
      <c r="E2" s="18"/>
      <c r="F2" s="18"/>
      <c r="G2" s="18"/>
      <c r="H2" s="18"/>
    </row>
    <row r="3" ht="30.0" customHeight="1">
      <c r="A3" s="19"/>
      <c r="B3" s="20"/>
    </row>
    <row r="4" ht="24.0" customHeight="1">
      <c r="A4" s="21"/>
      <c r="B4" s="22" t="s">
        <v>8</v>
      </c>
      <c r="C4" s="22" t="s">
        <v>9</v>
      </c>
      <c r="D4" s="22" t="s">
        <v>10</v>
      </c>
      <c r="E4" s="22" t="s">
        <v>28</v>
      </c>
      <c r="F4" s="22" t="s">
        <v>29</v>
      </c>
      <c r="G4" s="22" t="s">
        <v>30</v>
      </c>
      <c r="H4" s="22" t="s">
        <v>47</v>
      </c>
    </row>
    <row r="5" ht="21.0" customHeight="1">
      <c r="A5" s="23"/>
      <c r="B5" s="24" t="s">
        <v>48</v>
      </c>
      <c r="C5" s="10" t="s">
        <v>12</v>
      </c>
      <c r="D5" s="13">
        <v>27000.0</v>
      </c>
      <c r="E5" s="13">
        <v>0.0</v>
      </c>
      <c r="F5" s="13">
        <v>6150.0</v>
      </c>
      <c r="G5" s="13">
        <v>0.0</v>
      </c>
      <c r="H5" s="13">
        <f t="shared" ref="H5:H16" si="1">sum(D5:F5)</f>
        <v>33150</v>
      </c>
    </row>
    <row r="6" ht="21.0" customHeight="1">
      <c r="A6" s="23"/>
      <c r="B6" s="24"/>
      <c r="C6" s="10" t="s">
        <v>13</v>
      </c>
      <c r="D6" s="13">
        <v>335000.0</v>
      </c>
      <c r="E6" s="13">
        <v>0.0</v>
      </c>
      <c r="F6" s="32">
        <v>2412.0</v>
      </c>
      <c r="G6" s="32">
        <v>0.0</v>
      </c>
      <c r="H6" s="13">
        <f t="shared" si="1"/>
        <v>337412</v>
      </c>
    </row>
    <row r="7" ht="21.0" customHeight="1">
      <c r="A7" s="23"/>
      <c r="B7" s="24"/>
      <c r="C7" s="10" t="s">
        <v>14</v>
      </c>
      <c r="D7" s="13">
        <v>94000.0</v>
      </c>
      <c r="E7" s="13">
        <v>0.0</v>
      </c>
      <c r="F7" s="13">
        <v>7247.16</v>
      </c>
      <c r="G7" s="13">
        <v>700000.0</v>
      </c>
      <c r="H7" s="13">
        <f t="shared" si="1"/>
        <v>101247.16</v>
      </c>
    </row>
    <row r="8" ht="21.0" customHeight="1">
      <c r="A8" s="23"/>
      <c r="B8" s="24"/>
      <c r="C8" s="10" t="s">
        <v>15</v>
      </c>
      <c r="D8" s="13">
        <v>128700.0</v>
      </c>
      <c r="E8" s="13">
        <v>14000.0</v>
      </c>
      <c r="F8" s="13">
        <v>8300.0</v>
      </c>
      <c r="G8" s="13">
        <v>0.0</v>
      </c>
      <c r="H8" s="13">
        <f t="shared" si="1"/>
        <v>151000</v>
      </c>
    </row>
    <row r="9" ht="21.0" customHeight="1">
      <c r="A9" s="23"/>
      <c r="B9" s="24"/>
      <c r="C9" s="10" t="s">
        <v>16</v>
      </c>
      <c r="D9" s="13">
        <v>103000.0</v>
      </c>
      <c r="E9" s="13">
        <v>0.0</v>
      </c>
      <c r="F9" s="10">
        <v>500.0</v>
      </c>
      <c r="G9" s="10">
        <v>0.0</v>
      </c>
      <c r="H9" s="13">
        <f t="shared" si="1"/>
        <v>103500</v>
      </c>
    </row>
    <row r="10" ht="21.0" customHeight="1">
      <c r="A10" s="23"/>
      <c r="B10" s="24"/>
      <c r="C10" s="10" t="s">
        <v>17</v>
      </c>
      <c r="D10" s="13">
        <v>67000.0</v>
      </c>
      <c r="E10" s="13">
        <v>0.0</v>
      </c>
      <c r="F10" s="10">
        <v>500.0</v>
      </c>
      <c r="G10" s="10">
        <v>0.0</v>
      </c>
      <c r="H10" s="13">
        <f t="shared" si="1"/>
        <v>67500</v>
      </c>
    </row>
    <row r="11" ht="21.0" customHeight="1">
      <c r="A11" s="23"/>
      <c r="B11" s="24"/>
      <c r="C11" s="10" t="s">
        <v>18</v>
      </c>
      <c r="D11" s="13">
        <v>77000.0</v>
      </c>
      <c r="E11" s="13">
        <v>0.0</v>
      </c>
      <c r="F11" s="13">
        <v>5500.0</v>
      </c>
      <c r="G11" s="13">
        <v>0.0</v>
      </c>
      <c r="H11" s="13">
        <f t="shared" si="1"/>
        <v>82500</v>
      </c>
    </row>
    <row r="12" ht="21.0" customHeight="1">
      <c r="A12" s="23"/>
      <c r="B12" s="24"/>
      <c r="C12" s="10" t="s">
        <v>19</v>
      </c>
      <c r="D12" s="13">
        <v>59000.0</v>
      </c>
      <c r="E12" s="13">
        <v>0.0</v>
      </c>
      <c r="F12" s="13">
        <v>9500.0</v>
      </c>
      <c r="G12" s="13">
        <v>0.0</v>
      </c>
      <c r="H12" s="13">
        <f t="shared" si="1"/>
        <v>68500</v>
      </c>
    </row>
    <row r="13" ht="19.5" customHeight="1">
      <c r="A13" s="23"/>
      <c r="B13" s="24"/>
      <c r="C13" s="10" t="s">
        <v>20</v>
      </c>
      <c r="D13" s="13">
        <v>85000.0</v>
      </c>
      <c r="E13" s="13">
        <v>0.0</v>
      </c>
      <c r="F13" s="13">
        <v>3500.0</v>
      </c>
      <c r="G13" s="13">
        <v>0.0</v>
      </c>
      <c r="H13" s="13">
        <f t="shared" si="1"/>
        <v>88500</v>
      </c>
    </row>
    <row r="14" ht="19.5" customHeight="1">
      <c r="A14" s="23"/>
      <c r="B14" s="24"/>
      <c r="C14" s="10" t="s">
        <v>21</v>
      </c>
      <c r="D14" s="13">
        <v>55000.0</v>
      </c>
      <c r="E14" s="13">
        <v>27000.0</v>
      </c>
      <c r="F14" s="32">
        <v>4313.0</v>
      </c>
      <c r="G14" s="32">
        <v>0.0</v>
      </c>
      <c r="H14" s="13">
        <f t="shared" si="1"/>
        <v>86313</v>
      </c>
    </row>
    <row r="15" ht="19.5" customHeight="1">
      <c r="A15" s="23"/>
      <c r="B15" s="24"/>
      <c r="C15" s="10" t="s">
        <v>22</v>
      </c>
      <c r="D15" s="13">
        <v>71000.0</v>
      </c>
      <c r="E15" s="13">
        <v>13000.0</v>
      </c>
      <c r="F15" s="13">
        <v>6500.0</v>
      </c>
      <c r="G15" s="13">
        <v>0.0</v>
      </c>
      <c r="H15" s="13">
        <f t="shared" si="1"/>
        <v>90500</v>
      </c>
    </row>
    <row r="16" ht="19.5" customHeight="1">
      <c r="A16" s="23"/>
      <c r="B16" s="24"/>
      <c r="C16" s="10" t="s">
        <v>23</v>
      </c>
      <c r="D16" s="13">
        <v>99000.0</v>
      </c>
      <c r="E16" s="13">
        <v>0.0</v>
      </c>
      <c r="F16" s="13">
        <v>11500.0</v>
      </c>
      <c r="G16" s="13">
        <v>0.0</v>
      </c>
      <c r="H16" s="13">
        <f t="shared" si="1"/>
        <v>110500</v>
      </c>
    </row>
    <row r="17" ht="19.5" customHeight="1">
      <c r="A17" s="23"/>
      <c r="B17" s="25" t="s">
        <v>24</v>
      </c>
      <c r="C17" s="10"/>
      <c r="D17" s="13">
        <f t="shared" ref="D17:H17" si="2">sum(D5:D16)</f>
        <v>1200700</v>
      </c>
      <c r="E17" s="13">
        <f t="shared" si="2"/>
        <v>54000</v>
      </c>
      <c r="F17" s="13">
        <f t="shared" si="2"/>
        <v>65922.16</v>
      </c>
      <c r="G17" s="13">
        <f t="shared" si="2"/>
        <v>700000</v>
      </c>
      <c r="H17" s="13">
        <f t="shared" si="2"/>
        <v>1320622.16</v>
      </c>
    </row>
    <row r="18" ht="19.5" customHeight="1">
      <c r="A18" s="23"/>
      <c r="B18" s="24"/>
      <c r="C18" s="10"/>
      <c r="D18" s="10"/>
      <c r="E18" s="10"/>
      <c r="F18" s="10"/>
      <c r="G18" s="10"/>
      <c r="H18" s="13"/>
    </row>
    <row r="19" ht="19.5" customHeight="1">
      <c r="A19" s="23"/>
      <c r="B19" s="24"/>
      <c r="C19" s="10"/>
      <c r="D19" s="10"/>
      <c r="E19" s="10"/>
      <c r="F19" s="10"/>
      <c r="G19" s="10"/>
      <c r="H19" s="13"/>
    </row>
    <row r="20" ht="19.5" customHeight="1">
      <c r="A20" s="52"/>
      <c r="B20" s="53" t="s">
        <v>49</v>
      </c>
      <c r="C20" s="37" t="s">
        <v>12</v>
      </c>
      <c r="D20" s="35">
        <v>112000.0</v>
      </c>
      <c r="E20" s="35">
        <v>0.0</v>
      </c>
      <c r="F20" s="35">
        <v>7314.58</v>
      </c>
      <c r="G20" s="13">
        <v>766501.0</v>
      </c>
      <c r="H20" s="13">
        <f t="shared" ref="H20:H31" si="3">sum(D20:F20)</f>
        <v>119314.58</v>
      </c>
    </row>
    <row r="21" ht="19.5" customHeight="1">
      <c r="A21" s="52"/>
      <c r="B21" s="54"/>
      <c r="C21" s="40" t="s">
        <v>13</v>
      </c>
      <c r="D21" s="50">
        <v>42000.0</v>
      </c>
      <c r="E21" s="50">
        <v>0.0</v>
      </c>
      <c r="F21" s="50">
        <v>1000.0</v>
      </c>
      <c r="G21" s="13">
        <v>281921.0</v>
      </c>
      <c r="H21" s="13">
        <f t="shared" si="3"/>
        <v>43000</v>
      </c>
    </row>
    <row r="22" ht="19.5" customHeight="1">
      <c r="A22" s="52"/>
      <c r="B22" s="55"/>
      <c r="C22" s="38" t="s">
        <v>14</v>
      </c>
      <c r="D22" s="35">
        <v>205000.0</v>
      </c>
      <c r="E22" s="35">
        <v>12500.0</v>
      </c>
      <c r="F22" s="35">
        <v>3723.04</v>
      </c>
      <c r="G22" s="35">
        <v>1474530.0</v>
      </c>
      <c r="H22" s="13">
        <f t="shared" si="3"/>
        <v>221223.04</v>
      </c>
    </row>
    <row r="23" ht="19.5" customHeight="1">
      <c r="A23" s="52"/>
      <c r="B23" s="56"/>
      <c r="C23" s="11" t="s">
        <v>15</v>
      </c>
      <c r="D23" s="50">
        <v>224000.0</v>
      </c>
      <c r="E23" s="50">
        <v>0.0</v>
      </c>
      <c r="F23" s="50">
        <v>7440.35</v>
      </c>
      <c r="G23" s="50">
        <v>1519921.0</v>
      </c>
      <c r="H23" s="13">
        <f t="shared" si="3"/>
        <v>231440.35</v>
      </c>
    </row>
    <row r="24" ht="19.5" customHeight="1">
      <c r="A24" s="52"/>
      <c r="B24" s="55"/>
      <c r="C24" s="44" t="s">
        <v>16</v>
      </c>
      <c r="D24" s="35">
        <v>163000.0</v>
      </c>
      <c r="E24" s="35">
        <v>0.0</v>
      </c>
      <c r="F24" s="35">
        <v>11799.25</v>
      </c>
      <c r="G24" s="35">
        <v>1096520.0</v>
      </c>
      <c r="H24" s="13">
        <f t="shared" si="3"/>
        <v>174799.25</v>
      </c>
    </row>
    <row r="25" ht="19.5" customHeight="1">
      <c r="A25" s="52"/>
      <c r="B25" s="56"/>
      <c r="C25" s="11" t="s">
        <v>17</v>
      </c>
      <c r="D25" s="50">
        <v>211500.0</v>
      </c>
      <c r="E25" s="50">
        <v>17500.0</v>
      </c>
      <c r="F25" s="50">
        <v>8193.07</v>
      </c>
      <c r="G25" s="50">
        <v>555920.0</v>
      </c>
      <c r="H25" s="13">
        <f t="shared" si="3"/>
        <v>237193.07</v>
      </c>
    </row>
    <row r="26" ht="19.5" customHeight="1">
      <c r="A26" s="52"/>
      <c r="B26" s="55"/>
      <c r="C26" s="44" t="s">
        <v>18</v>
      </c>
      <c r="D26" s="35">
        <v>154000.0</v>
      </c>
      <c r="E26" s="35">
        <v>0.0</v>
      </c>
      <c r="F26" s="35">
        <v>3517.99</v>
      </c>
      <c r="G26" s="35">
        <v>355920.0</v>
      </c>
      <c r="H26" s="13">
        <f t="shared" si="3"/>
        <v>157517.99</v>
      </c>
    </row>
    <row r="27" ht="19.5" customHeight="1">
      <c r="A27" s="52"/>
      <c r="B27" s="56"/>
      <c r="C27" s="11" t="s">
        <v>19</v>
      </c>
      <c r="D27" s="50">
        <v>150500.0</v>
      </c>
      <c r="E27" s="50">
        <v>10500.0</v>
      </c>
      <c r="F27" s="50">
        <v>1500.0</v>
      </c>
      <c r="G27" s="50">
        <v>495920.0</v>
      </c>
      <c r="H27" s="13">
        <f t="shared" si="3"/>
        <v>162500</v>
      </c>
    </row>
    <row r="28" ht="19.5" customHeight="1">
      <c r="A28" s="52"/>
      <c r="B28" s="55"/>
      <c r="C28" s="44" t="s">
        <v>20</v>
      </c>
      <c r="D28" s="35">
        <v>190000.0</v>
      </c>
      <c r="E28" s="35">
        <v>0.0</v>
      </c>
      <c r="F28" s="57">
        <v>3978.75</v>
      </c>
      <c r="G28" s="57">
        <v>335340.0</v>
      </c>
      <c r="H28" s="13">
        <f t="shared" si="3"/>
        <v>193978.75</v>
      </c>
    </row>
    <row r="29" ht="19.5" customHeight="1">
      <c r="A29" s="52"/>
      <c r="B29" s="56"/>
      <c r="C29" s="11" t="s">
        <v>21</v>
      </c>
      <c r="D29" s="50">
        <v>194000.0</v>
      </c>
      <c r="E29" s="50">
        <v>0.0</v>
      </c>
      <c r="F29" s="58">
        <v>4724.71</v>
      </c>
      <c r="G29" s="13">
        <v>831785.0</v>
      </c>
      <c r="H29" s="13">
        <f t="shared" si="3"/>
        <v>198724.71</v>
      </c>
    </row>
    <row r="30" ht="19.5" customHeight="1">
      <c r="A30" s="52"/>
      <c r="B30" s="55"/>
      <c r="C30" s="44" t="s">
        <v>22</v>
      </c>
      <c r="D30" s="35">
        <v>122000.0</v>
      </c>
      <c r="E30" s="35">
        <v>0.0</v>
      </c>
      <c r="F30" s="35">
        <v>1000.0</v>
      </c>
      <c r="G30" s="35">
        <v>1188363.0</v>
      </c>
      <c r="H30" s="13">
        <f t="shared" si="3"/>
        <v>123000</v>
      </c>
    </row>
    <row r="31" ht="19.5" customHeight="1">
      <c r="A31" s="52"/>
      <c r="B31" s="56"/>
      <c r="C31" s="11" t="s">
        <v>23</v>
      </c>
      <c r="D31" s="50">
        <v>211000.0</v>
      </c>
      <c r="E31" s="50">
        <v>7000.0</v>
      </c>
      <c r="F31" s="58">
        <v>3872.07</v>
      </c>
      <c r="G31" s="58">
        <v>202920.0</v>
      </c>
      <c r="H31" s="13">
        <f t="shared" si="3"/>
        <v>221872.07</v>
      </c>
    </row>
    <row r="32" ht="19.5" customHeight="1">
      <c r="A32" s="59"/>
      <c r="B32" s="60" t="s">
        <v>24</v>
      </c>
      <c r="C32" s="47"/>
      <c r="D32" s="61">
        <f t="shared" ref="D32:H32" si="4">sum(D20:D31)</f>
        <v>1979000</v>
      </c>
      <c r="E32" s="61">
        <f t="shared" si="4"/>
        <v>47500</v>
      </c>
      <c r="F32" s="61">
        <f t="shared" si="4"/>
        <v>58063.81</v>
      </c>
      <c r="G32" s="61">
        <f t="shared" si="4"/>
        <v>9105561</v>
      </c>
      <c r="H32" s="61">
        <f t="shared" si="4"/>
        <v>2084563.81</v>
      </c>
    </row>
    <row r="33" ht="19.5" customHeight="1">
      <c r="A33" s="59"/>
      <c r="B33" s="62"/>
      <c r="C33" s="47"/>
      <c r="D33" s="47"/>
      <c r="E33" s="47"/>
      <c r="F33" s="47"/>
      <c r="G33" s="47"/>
      <c r="H33" s="13"/>
    </row>
    <row r="34" ht="19.5" customHeight="1">
      <c r="A34" s="59"/>
      <c r="B34" s="62"/>
      <c r="C34" s="47"/>
      <c r="D34" s="47"/>
      <c r="E34" s="47"/>
      <c r="F34" s="47"/>
      <c r="G34" s="47"/>
      <c r="H34" s="13"/>
    </row>
    <row r="35" ht="19.5" customHeight="1">
      <c r="A35" s="52"/>
      <c r="B35" s="63" t="s">
        <v>50</v>
      </c>
      <c r="C35" s="44" t="s">
        <v>12</v>
      </c>
      <c r="D35" s="35">
        <v>146500.0</v>
      </c>
      <c r="E35" s="35">
        <v>0.0</v>
      </c>
      <c r="F35" s="35">
        <v>7580.0</v>
      </c>
      <c r="G35" s="35">
        <v>0.0</v>
      </c>
      <c r="H35" s="13">
        <f t="shared" ref="H35:H46" si="5">sum(D35:F35)</f>
        <v>154080</v>
      </c>
    </row>
    <row r="36" ht="19.5" customHeight="1">
      <c r="A36" s="52"/>
      <c r="B36" s="56"/>
      <c r="C36" s="11" t="s">
        <v>13</v>
      </c>
      <c r="D36" s="50">
        <v>104500.0</v>
      </c>
      <c r="E36" s="50">
        <v>13500.0</v>
      </c>
      <c r="F36" s="50">
        <v>1500.0</v>
      </c>
      <c r="G36" s="50">
        <v>0.0</v>
      </c>
      <c r="H36" s="13">
        <f t="shared" si="5"/>
        <v>119500</v>
      </c>
    </row>
    <row r="37" ht="19.5" customHeight="1">
      <c r="A37" s="52"/>
      <c r="B37" s="55"/>
      <c r="C37" s="38" t="s">
        <v>14</v>
      </c>
      <c r="D37" s="35">
        <v>204000.0</v>
      </c>
      <c r="E37" s="35">
        <v>12000.0</v>
      </c>
      <c r="F37" s="35">
        <v>10100.0</v>
      </c>
      <c r="G37" s="35">
        <v>0.0</v>
      </c>
      <c r="H37" s="13">
        <f t="shared" si="5"/>
        <v>226100</v>
      </c>
    </row>
    <row r="38" ht="19.5" customHeight="1">
      <c r="A38" s="52"/>
      <c r="B38" s="56"/>
      <c r="C38" s="11" t="s">
        <v>15</v>
      </c>
      <c r="D38" s="50">
        <v>250500.0</v>
      </c>
      <c r="E38" s="50">
        <v>12500.0</v>
      </c>
      <c r="F38" s="50">
        <v>6780.0</v>
      </c>
      <c r="G38" s="50">
        <v>400000.0</v>
      </c>
      <c r="H38" s="13">
        <f t="shared" si="5"/>
        <v>269780</v>
      </c>
    </row>
    <row r="39" ht="19.5" customHeight="1">
      <c r="A39" s="52"/>
      <c r="B39" s="55"/>
      <c r="C39" s="44" t="s">
        <v>16</v>
      </c>
      <c r="D39" s="35">
        <v>116000.0</v>
      </c>
      <c r="E39" s="35">
        <v>0.0</v>
      </c>
      <c r="F39" s="35">
        <v>10360.0</v>
      </c>
      <c r="G39" s="35">
        <v>150000.0</v>
      </c>
      <c r="H39" s="13">
        <f t="shared" si="5"/>
        <v>126360</v>
      </c>
    </row>
    <row r="40" ht="19.5" customHeight="1">
      <c r="A40" s="52"/>
      <c r="B40" s="56"/>
      <c r="C40" s="11" t="s">
        <v>17</v>
      </c>
      <c r="D40" s="50">
        <v>323000.0</v>
      </c>
      <c r="E40" s="50">
        <v>46000.0</v>
      </c>
      <c r="F40" s="50">
        <v>7070.0</v>
      </c>
      <c r="G40" s="50">
        <v>0.0</v>
      </c>
      <c r="H40" s="13">
        <f t="shared" si="5"/>
        <v>376070</v>
      </c>
    </row>
    <row r="41" ht="19.5" customHeight="1">
      <c r="A41" s="52"/>
      <c r="B41" s="55"/>
      <c r="C41" s="44" t="s">
        <v>18</v>
      </c>
      <c r="D41" s="35">
        <v>163500.0</v>
      </c>
      <c r="E41" s="35">
        <v>27500.0</v>
      </c>
      <c r="F41" s="35">
        <v>6200.0</v>
      </c>
      <c r="G41" s="35">
        <v>0.0</v>
      </c>
      <c r="H41" s="13">
        <f t="shared" si="5"/>
        <v>197200</v>
      </c>
    </row>
    <row r="42" ht="19.5" customHeight="1">
      <c r="A42" s="52"/>
      <c r="B42" s="56"/>
      <c r="C42" s="11" t="s">
        <v>19</v>
      </c>
      <c r="D42" s="50">
        <v>189000.0</v>
      </c>
      <c r="E42" s="50">
        <v>10000.0</v>
      </c>
      <c r="F42" s="50">
        <v>8660.0</v>
      </c>
      <c r="G42" s="50">
        <v>0.0</v>
      </c>
      <c r="H42" s="13">
        <f t="shared" si="5"/>
        <v>207660</v>
      </c>
    </row>
    <row r="43" ht="19.5" customHeight="1">
      <c r="A43" s="52"/>
      <c r="B43" s="55"/>
      <c r="C43" s="44" t="s">
        <v>20</v>
      </c>
      <c r="D43" s="35">
        <v>245000.0</v>
      </c>
      <c r="E43" s="35">
        <v>60000.0</v>
      </c>
      <c r="F43" s="35">
        <v>3800.0</v>
      </c>
      <c r="G43" s="38">
        <v>0.0</v>
      </c>
      <c r="H43" s="13">
        <f t="shared" si="5"/>
        <v>308800</v>
      </c>
    </row>
    <row r="44" ht="19.5" customHeight="1">
      <c r="A44" s="52"/>
      <c r="B44" s="56"/>
      <c r="C44" s="11" t="s">
        <v>21</v>
      </c>
      <c r="D44" s="50">
        <v>172000.0</v>
      </c>
      <c r="E44" s="50">
        <v>0.0</v>
      </c>
      <c r="F44" s="50">
        <v>8990.0</v>
      </c>
      <c r="G44" s="50">
        <v>0.0</v>
      </c>
      <c r="H44" s="13">
        <f t="shared" si="5"/>
        <v>180990</v>
      </c>
    </row>
    <row r="45" ht="19.5" customHeight="1">
      <c r="A45" s="52"/>
      <c r="B45" s="55"/>
      <c r="C45" s="44" t="s">
        <v>22</v>
      </c>
      <c r="D45" s="35">
        <v>221000.0</v>
      </c>
      <c r="E45" s="35">
        <v>10000.0</v>
      </c>
      <c r="F45" s="35">
        <v>2260.0</v>
      </c>
      <c r="G45" s="35">
        <v>0.0</v>
      </c>
      <c r="H45" s="13">
        <f t="shared" si="5"/>
        <v>233260</v>
      </c>
    </row>
    <row r="46" ht="19.5" customHeight="1">
      <c r="A46" s="52"/>
      <c r="B46" s="56"/>
      <c r="C46" s="11" t="s">
        <v>23</v>
      </c>
      <c r="D46" s="50">
        <v>246000.0</v>
      </c>
      <c r="E46" s="50">
        <v>10000.0</v>
      </c>
      <c r="F46" s="50">
        <v>10800.0</v>
      </c>
      <c r="G46" s="50">
        <v>0.0</v>
      </c>
      <c r="H46" s="13">
        <f t="shared" si="5"/>
        <v>266800</v>
      </c>
    </row>
    <row r="47" ht="19.5" customHeight="1">
      <c r="A47" s="52"/>
      <c r="B47" s="64" t="s">
        <v>24</v>
      </c>
      <c r="C47" s="11"/>
      <c r="D47" s="50">
        <f t="shared" ref="D47:H47" si="6">SUM(D35:D46)</f>
        <v>2381000</v>
      </c>
      <c r="E47" s="50">
        <f t="shared" si="6"/>
        <v>201500</v>
      </c>
      <c r="F47" s="50">
        <f t="shared" si="6"/>
        <v>84100</v>
      </c>
      <c r="G47" s="50">
        <f t="shared" si="6"/>
        <v>550000</v>
      </c>
      <c r="H47" s="50">
        <f t="shared" si="6"/>
        <v>2666600</v>
      </c>
    </row>
    <row r="48" ht="19.5" customHeight="1">
      <c r="A48" s="52"/>
      <c r="B48" s="64"/>
      <c r="C48" s="11"/>
      <c r="D48" s="50">
        <f t="shared" ref="D48:G48" si="7">sum(D32,D17, D47)</f>
        <v>5560700</v>
      </c>
      <c r="E48" s="50">
        <f t="shared" si="7"/>
        <v>303000</v>
      </c>
      <c r="F48" s="50">
        <f t="shared" si="7"/>
        <v>208085.97</v>
      </c>
      <c r="G48" s="50">
        <f t="shared" si="7"/>
        <v>10355561</v>
      </c>
      <c r="H48" s="50">
        <f>sum(D48:G48)</f>
        <v>16427346.97</v>
      </c>
    </row>
  </sheetData>
  <mergeCells count="2">
    <mergeCell ref="B1:F1"/>
    <mergeCell ref="B3:H3"/>
  </mergeCell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5" width="25.13"/>
    <col customWidth="1" min="6" max="7" width="32.63"/>
    <col customWidth="1" min="8" max="8" width="24.63"/>
  </cols>
  <sheetData>
    <row r="1" ht="70.5" customHeight="1">
      <c r="A1" s="17"/>
      <c r="B1" s="34" t="s">
        <v>0</v>
      </c>
      <c r="G1" s="34"/>
      <c r="H1" s="69">
        <v>2020.0</v>
      </c>
    </row>
    <row r="2" ht="12.0" customHeight="1">
      <c r="A2" s="17"/>
      <c r="B2" s="18"/>
      <c r="C2" s="18"/>
      <c r="D2" s="18"/>
      <c r="E2" s="18"/>
      <c r="F2" s="18"/>
      <c r="G2" s="18"/>
      <c r="H2" s="18"/>
    </row>
    <row r="3" ht="30.0" customHeight="1">
      <c r="A3" s="19"/>
      <c r="B3" s="20"/>
    </row>
    <row r="4" ht="24.0" customHeight="1">
      <c r="A4" s="21"/>
      <c r="B4" s="22" t="s">
        <v>8</v>
      </c>
      <c r="C4" s="22" t="s">
        <v>9</v>
      </c>
      <c r="D4" s="22" t="s">
        <v>10</v>
      </c>
      <c r="E4" s="22" t="s">
        <v>28</v>
      </c>
      <c r="F4" s="22" t="s">
        <v>29</v>
      </c>
      <c r="G4" s="22" t="s">
        <v>30</v>
      </c>
      <c r="H4" s="22" t="s">
        <v>6</v>
      </c>
    </row>
    <row r="5" ht="21.0" customHeight="1">
      <c r="A5" s="23"/>
      <c r="B5" s="24" t="s">
        <v>51</v>
      </c>
      <c r="C5" s="10" t="s">
        <v>12</v>
      </c>
      <c r="D5" s="13">
        <v>156000.0</v>
      </c>
      <c r="E5" s="13">
        <v>14000.0</v>
      </c>
      <c r="F5" s="13">
        <v>6500.0</v>
      </c>
      <c r="G5" s="13">
        <v>194022.0</v>
      </c>
      <c r="H5" s="13">
        <f t="shared" ref="H5:H16" si="1">sum(D5:F5)</f>
        <v>176500</v>
      </c>
    </row>
    <row r="6" ht="21.0" customHeight="1">
      <c r="A6" s="23"/>
      <c r="B6" s="24"/>
      <c r="C6" s="10" t="s">
        <v>13</v>
      </c>
      <c r="D6" s="13">
        <v>335000.0</v>
      </c>
      <c r="E6" s="13">
        <v>56222.5</v>
      </c>
      <c r="F6" s="32">
        <v>3717.25</v>
      </c>
      <c r="G6" s="13">
        <v>562222.0</v>
      </c>
      <c r="H6" s="13">
        <f t="shared" si="1"/>
        <v>394939.75</v>
      </c>
    </row>
    <row r="7" ht="21.0" customHeight="1">
      <c r="A7" s="23"/>
      <c r="B7" s="24"/>
      <c r="C7" s="10" t="s">
        <v>14</v>
      </c>
      <c r="D7" s="13">
        <v>345000.0</v>
      </c>
      <c r="E7" s="13">
        <v>0.0</v>
      </c>
      <c r="F7" s="32">
        <v>4377.0</v>
      </c>
      <c r="G7" s="13">
        <v>194022.0</v>
      </c>
      <c r="H7" s="13">
        <f t="shared" si="1"/>
        <v>349377</v>
      </c>
    </row>
    <row r="8" ht="21.0" customHeight="1">
      <c r="A8" s="23"/>
      <c r="B8" s="24"/>
      <c r="C8" s="10" t="s">
        <v>15</v>
      </c>
      <c r="D8" s="13">
        <v>110000.0</v>
      </c>
      <c r="E8" s="13">
        <v>0.0</v>
      </c>
      <c r="F8" s="13">
        <v>7000.0</v>
      </c>
      <c r="G8" s="13">
        <v>385949.0</v>
      </c>
      <c r="H8" s="13">
        <f t="shared" si="1"/>
        <v>117000</v>
      </c>
    </row>
    <row r="9" ht="21.0" customHeight="1">
      <c r="A9" s="23"/>
      <c r="B9" s="24"/>
      <c r="C9" s="10" t="s">
        <v>16</v>
      </c>
      <c r="D9" s="13">
        <v>297000.0</v>
      </c>
      <c r="E9" s="13">
        <v>0.0</v>
      </c>
      <c r="F9" s="32">
        <v>8440.0</v>
      </c>
      <c r="G9" s="13">
        <v>208949.3</v>
      </c>
      <c r="H9" s="13">
        <f t="shared" si="1"/>
        <v>305440</v>
      </c>
    </row>
    <row r="10" ht="21.0" customHeight="1">
      <c r="A10" s="23"/>
      <c r="B10" s="24"/>
      <c r="C10" s="10" t="s">
        <v>17</v>
      </c>
      <c r="D10" s="13">
        <v>112000.0</v>
      </c>
      <c r="E10" s="13">
        <v>0.0</v>
      </c>
      <c r="F10" s="32">
        <v>15548.0</v>
      </c>
      <c r="G10" s="13">
        <v>208949.3</v>
      </c>
      <c r="H10" s="13">
        <f t="shared" si="1"/>
        <v>127548</v>
      </c>
    </row>
    <row r="11" ht="21.0" customHeight="1">
      <c r="A11" s="23"/>
      <c r="B11" s="24"/>
      <c r="C11" s="10" t="s">
        <v>18</v>
      </c>
      <c r="D11" s="13">
        <v>149500.0</v>
      </c>
      <c r="E11" s="13">
        <v>15500.0</v>
      </c>
      <c r="F11" s="13">
        <v>11500.0</v>
      </c>
      <c r="G11" s="13">
        <v>210694.0</v>
      </c>
      <c r="H11" s="13">
        <f t="shared" si="1"/>
        <v>176500</v>
      </c>
    </row>
    <row r="12" ht="21.0" customHeight="1">
      <c r="A12" s="23"/>
      <c r="B12" s="24"/>
      <c r="C12" s="10" t="s">
        <v>19</v>
      </c>
      <c r="D12" s="13">
        <v>131000.0</v>
      </c>
      <c r="E12" s="13">
        <v>0.0</v>
      </c>
      <c r="F12" s="13">
        <v>17500.0</v>
      </c>
      <c r="G12" s="13">
        <v>210694.0</v>
      </c>
      <c r="H12" s="13">
        <f t="shared" si="1"/>
        <v>148500</v>
      </c>
    </row>
    <row r="13" ht="19.5" customHeight="1">
      <c r="A13" s="23"/>
      <c r="B13" s="24"/>
      <c r="C13" s="10" t="s">
        <v>20</v>
      </c>
      <c r="D13" s="13">
        <v>231000.0</v>
      </c>
      <c r="E13" s="13">
        <v>0.0</v>
      </c>
      <c r="F13" s="13">
        <v>7062.0</v>
      </c>
      <c r="G13" s="13">
        <v>482860.0</v>
      </c>
      <c r="H13" s="13">
        <f t="shared" si="1"/>
        <v>238062</v>
      </c>
    </row>
    <row r="14" ht="19.5" customHeight="1">
      <c r="A14" s="23"/>
      <c r="B14" s="24"/>
      <c r="C14" s="10" t="s">
        <v>21</v>
      </c>
      <c r="D14" s="13">
        <v>141000.0</v>
      </c>
      <c r="E14" s="13">
        <v>0.0</v>
      </c>
      <c r="F14" s="13">
        <v>10500.0</v>
      </c>
      <c r="G14" s="13">
        <v>259694.0</v>
      </c>
      <c r="H14" s="13">
        <f t="shared" si="1"/>
        <v>151500</v>
      </c>
    </row>
    <row r="15" ht="19.5" customHeight="1">
      <c r="A15" s="23"/>
      <c r="B15" s="24"/>
      <c r="C15" s="10" t="s">
        <v>22</v>
      </c>
      <c r="D15" s="13">
        <v>236000.0</v>
      </c>
      <c r="E15" s="13">
        <v>7000.0</v>
      </c>
      <c r="F15" s="13">
        <v>7370.88</v>
      </c>
      <c r="G15" s="13">
        <v>891220.0</v>
      </c>
      <c r="H15" s="13">
        <f t="shared" si="1"/>
        <v>250370.88</v>
      </c>
    </row>
    <row r="16" ht="19.5" customHeight="1">
      <c r="A16" s="23"/>
      <c r="B16" s="24"/>
      <c r="C16" s="10" t="s">
        <v>23</v>
      </c>
      <c r="D16" s="73">
        <v>149000.0</v>
      </c>
      <c r="E16" s="35">
        <v>0.0</v>
      </c>
      <c r="F16" s="73">
        <v>2130.0</v>
      </c>
      <c r="G16" s="35">
        <v>1143194.0</v>
      </c>
      <c r="H16" s="13">
        <f t="shared" si="1"/>
        <v>151130</v>
      </c>
    </row>
    <row r="17" ht="19.5" customHeight="1">
      <c r="A17" s="23"/>
      <c r="B17" s="25" t="s">
        <v>24</v>
      </c>
      <c r="C17" s="10"/>
      <c r="D17" s="13">
        <f t="shared" ref="D17:F17" si="2">sum(D5:D16)</f>
        <v>2392500</v>
      </c>
      <c r="E17" s="13">
        <f t="shared" si="2"/>
        <v>92722.5</v>
      </c>
      <c r="F17" s="13">
        <f t="shared" si="2"/>
        <v>101645.13</v>
      </c>
      <c r="G17" s="13">
        <f>SUM(G5:G16)</f>
        <v>4952469.6</v>
      </c>
      <c r="H17" s="13">
        <f>sum(H5:H16)</f>
        <v>2586867.63</v>
      </c>
    </row>
    <row r="18" ht="19.5" customHeight="1">
      <c r="A18" s="23"/>
      <c r="B18" s="25"/>
      <c r="C18" s="10"/>
      <c r="D18" s="13"/>
      <c r="E18" s="13"/>
      <c r="F18" s="13"/>
      <c r="G18" s="13"/>
      <c r="H18" s="13"/>
    </row>
    <row r="19" ht="19.5" customHeight="1">
      <c r="A19" s="23"/>
      <c r="B19" s="24"/>
      <c r="C19" s="10"/>
      <c r="D19" s="10"/>
      <c r="E19" s="10"/>
      <c r="F19" s="10"/>
      <c r="G19" s="10"/>
      <c r="H19" s="13"/>
    </row>
    <row r="20" ht="19.5" customHeight="1">
      <c r="A20" s="52"/>
      <c r="B20" s="53" t="s">
        <v>52</v>
      </c>
      <c r="C20" s="37" t="s">
        <v>12</v>
      </c>
      <c r="D20" s="35">
        <v>143000.0</v>
      </c>
      <c r="E20" s="35">
        <v>15000.0</v>
      </c>
      <c r="F20" s="57">
        <v>2110.0</v>
      </c>
      <c r="G20" s="57">
        <v>194022.0</v>
      </c>
      <c r="H20" s="13">
        <f t="shared" ref="H20:H31" si="3">sum(D20:F20)</f>
        <v>160110</v>
      </c>
    </row>
    <row r="21" ht="19.5" customHeight="1">
      <c r="A21" s="52"/>
      <c r="B21" s="54"/>
      <c r="C21" s="40" t="s">
        <v>13</v>
      </c>
      <c r="D21" s="50">
        <v>541000.0</v>
      </c>
      <c r="E21" s="50">
        <v>20000.0</v>
      </c>
      <c r="F21" s="50">
        <v>12271.25</v>
      </c>
      <c r="G21" s="50">
        <v>562222.0</v>
      </c>
      <c r="H21" s="13">
        <f t="shared" si="3"/>
        <v>573271.25</v>
      </c>
    </row>
    <row r="22" ht="19.5" customHeight="1">
      <c r="A22" s="52"/>
      <c r="B22" s="55"/>
      <c r="C22" s="38" t="s">
        <v>14</v>
      </c>
      <c r="D22" s="35">
        <v>149000.0</v>
      </c>
      <c r="E22" s="35">
        <v>0.0</v>
      </c>
      <c r="F22" s="57">
        <v>9162.0</v>
      </c>
      <c r="G22" s="57">
        <v>0.0</v>
      </c>
      <c r="H22" s="13">
        <f t="shared" si="3"/>
        <v>158162</v>
      </c>
    </row>
    <row r="23" ht="19.5" customHeight="1">
      <c r="A23" s="52"/>
      <c r="B23" s="56"/>
      <c r="C23" s="11" t="s">
        <v>15</v>
      </c>
      <c r="D23" s="50">
        <v>238000.0</v>
      </c>
      <c r="E23" s="50">
        <v>0.0</v>
      </c>
      <c r="F23" s="58">
        <v>14657.0</v>
      </c>
      <c r="G23" s="58">
        <v>177000.0</v>
      </c>
      <c r="H23" s="13">
        <f t="shared" si="3"/>
        <v>252657</v>
      </c>
    </row>
    <row r="24" ht="19.5" customHeight="1">
      <c r="A24" s="52"/>
      <c r="B24" s="55"/>
      <c r="C24" s="44" t="s">
        <v>16</v>
      </c>
      <c r="D24" s="35">
        <v>292000.0</v>
      </c>
      <c r="E24" s="35">
        <v>8000.0</v>
      </c>
      <c r="F24" s="57">
        <v>6382.0</v>
      </c>
      <c r="G24" s="57">
        <v>208949.0</v>
      </c>
      <c r="H24" s="13">
        <f t="shared" si="3"/>
        <v>306382</v>
      </c>
    </row>
    <row r="25" ht="19.5" customHeight="1">
      <c r="A25" s="52"/>
      <c r="B25" s="56"/>
      <c r="C25" s="11" t="s">
        <v>17</v>
      </c>
      <c r="D25" s="50">
        <v>283000.0</v>
      </c>
      <c r="E25" s="50">
        <v>0.0</v>
      </c>
      <c r="F25" s="58">
        <v>9776.0</v>
      </c>
      <c r="G25" s="58">
        <v>208949.0</v>
      </c>
      <c r="H25" s="13">
        <f t="shared" si="3"/>
        <v>292776</v>
      </c>
    </row>
    <row r="26" ht="19.5" customHeight="1">
      <c r="A26" s="52"/>
      <c r="B26" s="55"/>
      <c r="C26" s="44" t="s">
        <v>18</v>
      </c>
      <c r="D26" s="35">
        <v>251000.0</v>
      </c>
      <c r="E26" s="35">
        <v>0.0</v>
      </c>
      <c r="F26" s="57">
        <v>9278.0</v>
      </c>
      <c r="G26" s="57">
        <v>210694.0</v>
      </c>
      <c r="H26" s="13">
        <f t="shared" si="3"/>
        <v>260278</v>
      </c>
    </row>
    <row r="27" ht="19.5" customHeight="1">
      <c r="A27" s="52"/>
      <c r="B27" s="56"/>
      <c r="C27" s="11" t="s">
        <v>19</v>
      </c>
      <c r="D27" s="50">
        <v>226000.0</v>
      </c>
      <c r="E27" s="50">
        <v>18000.0</v>
      </c>
      <c r="F27" s="58">
        <v>11555.0</v>
      </c>
      <c r="G27" s="58">
        <v>210694.0</v>
      </c>
      <c r="H27" s="13">
        <f t="shared" si="3"/>
        <v>255555</v>
      </c>
    </row>
    <row r="28" ht="19.5" customHeight="1">
      <c r="A28" s="52"/>
      <c r="B28" s="55"/>
      <c r="C28" s="44" t="s">
        <v>20</v>
      </c>
      <c r="D28" s="35">
        <v>232000.0</v>
      </c>
      <c r="E28" s="35">
        <v>13500.0</v>
      </c>
      <c r="F28" s="35">
        <v>7971.42</v>
      </c>
      <c r="G28" s="13">
        <v>782860.0</v>
      </c>
      <c r="H28" s="13">
        <f t="shared" si="3"/>
        <v>253471.42</v>
      </c>
    </row>
    <row r="29" ht="19.5" customHeight="1">
      <c r="A29" s="52"/>
      <c r="B29" s="56"/>
      <c r="C29" s="11" t="s">
        <v>21</v>
      </c>
      <c r="D29" s="50">
        <v>218000.0</v>
      </c>
      <c r="E29" s="50">
        <v>0.0</v>
      </c>
      <c r="F29" s="50">
        <v>5184.33</v>
      </c>
      <c r="G29" s="50">
        <v>195694.0</v>
      </c>
      <c r="H29" s="13">
        <f t="shared" si="3"/>
        <v>223184.33</v>
      </c>
    </row>
    <row r="30" ht="19.5" customHeight="1">
      <c r="A30" s="52"/>
      <c r="B30" s="55"/>
      <c r="C30" s="44" t="s">
        <v>22</v>
      </c>
      <c r="D30" s="35">
        <v>15000.0</v>
      </c>
      <c r="E30" s="35">
        <v>0.0</v>
      </c>
      <c r="F30" s="38">
        <v>0.0</v>
      </c>
      <c r="G30" s="38">
        <v>0.0</v>
      </c>
      <c r="H30" s="13">
        <f t="shared" si="3"/>
        <v>15000</v>
      </c>
    </row>
    <row r="31" ht="19.5" customHeight="1">
      <c r="A31" s="52"/>
      <c r="B31" s="56"/>
      <c r="C31" s="11" t="s">
        <v>23</v>
      </c>
      <c r="D31" s="50">
        <v>176000.0</v>
      </c>
      <c r="E31" s="50">
        <v>10000.0</v>
      </c>
      <c r="F31" s="50">
        <v>5100.0</v>
      </c>
      <c r="G31" s="50">
        <v>1143194.0</v>
      </c>
      <c r="H31" s="13">
        <f t="shared" si="3"/>
        <v>191100</v>
      </c>
    </row>
    <row r="32" ht="19.5" customHeight="1">
      <c r="A32" s="59"/>
      <c r="B32" s="60" t="s">
        <v>24</v>
      </c>
      <c r="C32" s="47"/>
      <c r="D32" s="61">
        <f t="shared" ref="D32:H32" si="4">sum(D20:D31)</f>
        <v>2764000</v>
      </c>
      <c r="E32" s="61">
        <f t="shared" si="4"/>
        <v>84500</v>
      </c>
      <c r="F32" s="68">
        <f t="shared" si="4"/>
        <v>93447</v>
      </c>
      <c r="G32" s="68">
        <f t="shared" si="4"/>
        <v>3894278</v>
      </c>
      <c r="H32" s="61">
        <f t="shared" si="4"/>
        <v>2941947</v>
      </c>
    </row>
    <row r="33" ht="19.5" customHeight="1">
      <c r="A33" s="59"/>
      <c r="B33" s="62"/>
      <c r="C33" s="47"/>
      <c r="D33" s="47"/>
      <c r="E33" s="47"/>
      <c r="F33" s="47"/>
      <c r="G33" s="47"/>
      <c r="H33" s="13"/>
    </row>
    <row r="34" ht="19.5" customHeight="1">
      <c r="A34" s="59"/>
      <c r="B34" s="62"/>
      <c r="C34" s="47"/>
      <c r="D34" s="47"/>
      <c r="E34" s="47"/>
      <c r="F34" s="47"/>
      <c r="G34" s="47"/>
      <c r="H34" s="13"/>
    </row>
    <row r="35" ht="19.5" customHeight="1">
      <c r="A35" s="52"/>
      <c r="B35" s="63" t="s">
        <v>53</v>
      </c>
      <c r="C35" s="44" t="s">
        <v>12</v>
      </c>
      <c r="D35" s="35">
        <v>192000.0</v>
      </c>
      <c r="E35" s="35">
        <v>10000.0</v>
      </c>
      <c r="F35" s="35">
        <v>7600.0</v>
      </c>
      <c r="G35" s="35">
        <v>0.0</v>
      </c>
      <c r="H35" s="13">
        <f t="shared" ref="H35:H46" si="5">sum(D35:F35)</f>
        <v>209600</v>
      </c>
    </row>
    <row r="36" ht="19.5" customHeight="1">
      <c r="A36" s="52"/>
      <c r="B36" s="56"/>
      <c r="C36" s="11" t="s">
        <v>13</v>
      </c>
      <c r="D36" s="50">
        <v>214000.0</v>
      </c>
      <c r="E36" s="50">
        <v>24000.0</v>
      </c>
      <c r="F36" s="50">
        <v>5200.0</v>
      </c>
      <c r="G36" s="41">
        <v>250000.0</v>
      </c>
      <c r="H36" s="13">
        <f t="shared" si="5"/>
        <v>243200</v>
      </c>
    </row>
    <row r="37" ht="19.5" customHeight="1">
      <c r="A37" s="52"/>
      <c r="B37" s="55"/>
      <c r="C37" s="38" t="s">
        <v>14</v>
      </c>
      <c r="D37" s="35">
        <v>215000.0</v>
      </c>
      <c r="E37" s="35">
        <v>0.0</v>
      </c>
      <c r="F37" s="35">
        <v>4800.0</v>
      </c>
      <c r="G37" s="35">
        <v>0.0</v>
      </c>
      <c r="H37" s="13">
        <f t="shared" si="5"/>
        <v>219800</v>
      </c>
    </row>
    <row r="38" ht="19.5" customHeight="1">
      <c r="A38" s="52"/>
      <c r="B38" s="56"/>
      <c r="C38" s="11" t="s">
        <v>15</v>
      </c>
      <c r="D38" s="50">
        <v>223000.0</v>
      </c>
      <c r="E38" s="50">
        <v>12000.0</v>
      </c>
      <c r="F38" s="50">
        <v>5150.0</v>
      </c>
      <c r="G38" s="50">
        <v>0.0</v>
      </c>
      <c r="H38" s="13">
        <f t="shared" si="5"/>
        <v>240150</v>
      </c>
    </row>
    <row r="39" ht="19.5" customHeight="1">
      <c r="A39" s="52"/>
      <c r="B39" s="55"/>
      <c r="C39" s="44" t="s">
        <v>16</v>
      </c>
      <c r="D39" s="35">
        <v>269000.0</v>
      </c>
      <c r="E39" s="35">
        <v>0.0</v>
      </c>
      <c r="F39" s="35">
        <v>13300.0</v>
      </c>
      <c r="G39" s="35">
        <v>0.0</v>
      </c>
      <c r="H39" s="13">
        <f t="shared" si="5"/>
        <v>282300</v>
      </c>
    </row>
    <row r="40" ht="19.5" customHeight="1">
      <c r="A40" s="52"/>
      <c r="B40" s="56"/>
      <c r="C40" s="11" t="s">
        <v>17</v>
      </c>
      <c r="D40" s="50">
        <v>203000.0</v>
      </c>
      <c r="E40" s="50">
        <v>0.0</v>
      </c>
      <c r="F40" s="50">
        <v>11350.0</v>
      </c>
      <c r="G40" s="50">
        <v>0.0</v>
      </c>
      <c r="H40" s="13">
        <f t="shared" si="5"/>
        <v>214350</v>
      </c>
    </row>
    <row r="41" ht="19.5" customHeight="1">
      <c r="A41" s="52"/>
      <c r="B41" s="55"/>
      <c r="C41" s="44" t="s">
        <v>18</v>
      </c>
      <c r="D41" s="35">
        <v>232000.0</v>
      </c>
      <c r="E41" s="35">
        <v>10000.0</v>
      </c>
      <c r="F41" s="35">
        <v>12000.0</v>
      </c>
      <c r="G41" s="35">
        <v>0.0</v>
      </c>
      <c r="H41" s="13">
        <f t="shared" si="5"/>
        <v>254000</v>
      </c>
    </row>
    <row r="42" ht="19.5" customHeight="1">
      <c r="A42" s="52"/>
      <c r="B42" s="56"/>
      <c r="C42" s="11" t="s">
        <v>19</v>
      </c>
      <c r="D42" s="50">
        <v>223000.0</v>
      </c>
      <c r="E42" s="50">
        <v>13000.0</v>
      </c>
      <c r="F42" s="50">
        <v>6030.0</v>
      </c>
      <c r="G42" s="50">
        <v>0.0</v>
      </c>
      <c r="H42" s="13">
        <f t="shared" si="5"/>
        <v>242030</v>
      </c>
    </row>
    <row r="43" ht="19.5" customHeight="1">
      <c r="A43" s="52"/>
      <c r="B43" s="55"/>
      <c r="C43" s="44" t="s">
        <v>20</v>
      </c>
      <c r="D43" s="35">
        <v>93000.0</v>
      </c>
      <c r="E43" s="35">
        <v>0.0</v>
      </c>
      <c r="F43" s="35">
        <v>8500.0</v>
      </c>
      <c r="G43" s="35">
        <v>0.0</v>
      </c>
      <c r="H43" s="13">
        <f t="shared" si="5"/>
        <v>101500</v>
      </c>
    </row>
    <row r="44" ht="19.5" customHeight="1">
      <c r="A44" s="52"/>
      <c r="B44" s="56"/>
      <c r="C44" s="11" t="s">
        <v>21</v>
      </c>
      <c r="D44" s="50">
        <v>270000.0</v>
      </c>
      <c r="E44" s="50">
        <v>33000.0</v>
      </c>
      <c r="F44" s="50">
        <v>14800.0</v>
      </c>
      <c r="G44" s="50">
        <v>0.0</v>
      </c>
      <c r="H44" s="13">
        <f t="shared" si="5"/>
        <v>317800</v>
      </c>
    </row>
    <row r="45" ht="19.5" customHeight="1">
      <c r="A45" s="52"/>
      <c r="B45" s="55"/>
      <c r="C45" s="44" t="s">
        <v>22</v>
      </c>
      <c r="D45" s="35">
        <v>102000.0</v>
      </c>
      <c r="E45" s="35">
        <v>11500.0</v>
      </c>
      <c r="F45" s="35">
        <v>1500.0</v>
      </c>
      <c r="G45" s="35">
        <v>0.0</v>
      </c>
      <c r="H45" s="13">
        <f t="shared" si="5"/>
        <v>115000</v>
      </c>
    </row>
    <row r="46" ht="19.5" customHeight="1">
      <c r="A46" s="52"/>
      <c r="B46" s="56"/>
      <c r="C46" s="11" t="s">
        <v>23</v>
      </c>
      <c r="D46" s="50">
        <v>69000.0</v>
      </c>
      <c r="E46" s="50">
        <v>0.0</v>
      </c>
      <c r="F46" s="50">
        <v>5000.0</v>
      </c>
      <c r="G46" s="50">
        <v>0.0</v>
      </c>
      <c r="H46" s="13">
        <f t="shared" si="5"/>
        <v>74000</v>
      </c>
    </row>
    <row r="47" ht="19.5" customHeight="1">
      <c r="A47" s="52"/>
      <c r="B47" s="64" t="s">
        <v>24</v>
      </c>
      <c r="C47" s="11"/>
      <c r="D47" s="50">
        <f t="shared" ref="D47:H47" si="6">sum(D35:D46)</f>
        <v>2305000</v>
      </c>
      <c r="E47" s="50">
        <f t="shared" si="6"/>
        <v>113500</v>
      </c>
      <c r="F47" s="50">
        <f t="shared" si="6"/>
        <v>95230</v>
      </c>
      <c r="G47" s="50">
        <f t="shared" si="6"/>
        <v>250000</v>
      </c>
      <c r="H47" s="50">
        <f t="shared" si="6"/>
        <v>2513730</v>
      </c>
    </row>
    <row r="48" ht="19.5" customHeight="1">
      <c r="A48" s="52"/>
      <c r="B48" s="64"/>
      <c r="C48" s="11"/>
      <c r="D48" s="50">
        <f t="shared" ref="D48:G48" si="7">sum(D32,D17, D47)</f>
        <v>7461500</v>
      </c>
      <c r="E48" s="50">
        <f t="shared" si="7"/>
        <v>290722.5</v>
      </c>
      <c r="F48" s="50">
        <f t="shared" si="7"/>
        <v>290322.13</v>
      </c>
      <c r="G48" s="50">
        <f t="shared" si="7"/>
        <v>9096747.6</v>
      </c>
      <c r="H48" s="50">
        <f>sum(D48:G48)</f>
        <v>17139292.23</v>
      </c>
    </row>
  </sheetData>
  <mergeCells count="2">
    <mergeCell ref="B1:F1"/>
    <mergeCell ref="B3:H3"/>
  </mergeCell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18.5"/>
    <col customWidth="1" min="5" max="5" width="54.75"/>
    <col customWidth="1" min="6" max="6" width="32.63"/>
    <col customWidth="1" min="7" max="7" width="24.63"/>
  </cols>
  <sheetData>
    <row r="1" ht="70.5" customHeight="1">
      <c r="A1" s="1"/>
      <c r="B1" s="2" t="s">
        <v>0</v>
      </c>
      <c r="F1" s="2"/>
      <c r="G1" s="2">
        <v>2025.0</v>
      </c>
    </row>
    <row r="2" ht="12.0" customHeight="1">
      <c r="A2" s="1"/>
      <c r="B2" s="3"/>
      <c r="C2" s="3"/>
      <c r="D2" s="3"/>
      <c r="E2" s="3"/>
      <c r="F2" s="3"/>
      <c r="G2" s="3"/>
    </row>
    <row r="3" ht="30.0" customHeight="1">
      <c r="A3" s="4"/>
      <c r="B3" s="5"/>
    </row>
    <row r="4" ht="24.0" customHeight="1">
      <c r="A4" s="6"/>
      <c r="B4" s="7" t="s">
        <v>8</v>
      </c>
      <c r="C4" s="7" t="s">
        <v>1</v>
      </c>
      <c r="D4" s="7" t="s">
        <v>9</v>
      </c>
      <c r="E4" s="7" t="s">
        <v>54</v>
      </c>
      <c r="F4" s="7" t="s">
        <v>55</v>
      </c>
      <c r="G4" s="7" t="s">
        <v>6</v>
      </c>
    </row>
    <row r="5" ht="21.0" customHeight="1">
      <c r="A5" s="8"/>
      <c r="B5" s="14" t="s">
        <v>56</v>
      </c>
      <c r="C5" s="10">
        <v>2020.0</v>
      </c>
      <c r="D5" s="10" t="s">
        <v>12</v>
      </c>
      <c r="E5" s="10" t="s">
        <v>57</v>
      </c>
      <c r="F5" s="13">
        <v>194022.0</v>
      </c>
      <c r="G5" s="13">
        <v>194022.0</v>
      </c>
    </row>
    <row r="6" ht="21.0" customHeight="1">
      <c r="A6" s="8"/>
      <c r="B6" s="14"/>
      <c r="C6" s="10"/>
      <c r="D6" s="10" t="s">
        <v>13</v>
      </c>
      <c r="E6" s="10" t="s">
        <v>58</v>
      </c>
      <c r="F6" s="13">
        <v>88200.0</v>
      </c>
      <c r="G6" s="10"/>
    </row>
    <row r="7" ht="21.0" customHeight="1">
      <c r="A7" s="8"/>
      <c r="B7" s="14"/>
      <c r="C7" s="10"/>
      <c r="D7" s="10"/>
      <c r="E7" s="10" t="s">
        <v>57</v>
      </c>
      <c r="F7" s="13">
        <v>194022.0</v>
      </c>
      <c r="G7" s="10"/>
    </row>
    <row r="8" ht="21.0" customHeight="1">
      <c r="A8" s="8"/>
      <c r="B8" s="14"/>
      <c r="C8" s="10"/>
      <c r="D8" s="10"/>
      <c r="E8" s="10" t="s">
        <v>59</v>
      </c>
      <c r="F8" s="13">
        <v>150000.0</v>
      </c>
      <c r="G8" s="10"/>
    </row>
    <row r="9" ht="21.0" customHeight="1">
      <c r="A9" s="8"/>
      <c r="B9" s="14"/>
      <c r="C9" s="10"/>
      <c r="D9" s="10"/>
      <c r="E9" s="10" t="s">
        <v>60</v>
      </c>
      <c r="F9" s="13">
        <v>130000.0</v>
      </c>
      <c r="G9" s="13">
        <f>sum(F6:F9)</f>
        <v>562222</v>
      </c>
    </row>
    <row r="10" ht="21.0" customHeight="1">
      <c r="A10" s="8"/>
      <c r="B10" s="14"/>
      <c r="C10" s="10"/>
      <c r="D10" s="10" t="s">
        <v>14</v>
      </c>
      <c r="E10" s="10" t="s">
        <v>57</v>
      </c>
      <c r="F10" s="13">
        <v>194022.0</v>
      </c>
      <c r="G10" s="13">
        <v>194022.0</v>
      </c>
    </row>
    <row r="11" ht="21.0" customHeight="1">
      <c r="A11" s="8"/>
      <c r="B11" s="14"/>
      <c r="C11" s="10"/>
      <c r="D11" s="10" t="s">
        <v>15</v>
      </c>
      <c r="E11" s="10" t="s">
        <v>60</v>
      </c>
      <c r="F11" s="13">
        <v>100000.0</v>
      </c>
      <c r="G11" s="10"/>
    </row>
    <row r="12" ht="21.0" customHeight="1">
      <c r="A12" s="8"/>
      <c r="B12" s="14"/>
      <c r="C12" s="10"/>
      <c r="D12" s="10"/>
      <c r="E12" s="10" t="s">
        <v>58</v>
      </c>
      <c r="F12" s="13">
        <v>77000.0</v>
      </c>
      <c r="G12" s="10"/>
    </row>
    <row r="13" ht="21.0" customHeight="1">
      <c r="A13" s="8"/>
      <c r="B13" s="14"/>
      <c r="C13" s="10"/>
      <c r="D13" s="10"/>
      <c r="E13" s="10" t="s">
        <v>57</v>
      </c>
      <c r="F13" s="13">
        <v>208949.3</v>
      </c>
      <c r="G13" s="13">
        <f>sum(F11:F13)</f>
        <v>385949.3</v>
      </c>
    </row>
    <row r="14" ht="21.0" customHeight="1">
      <c r="A14" s="8"/>
      <c r="B14" s="14"/>
      <c r="C14" s="10"/>
      <c r="D14" s="10" t="s">
        <v>16</v>
      </c>
      <c r="E14" s="10" t="s">
        <v>57</v>
      </c>
      <c r="F14" s="13">
        <v>208949.3</v>
      </c>
      <c r="G14" s="13">
        <v>208949.3</v>
      </c>
    </row>
    <row r="15" ht="21.0" customHeight="1">
      <c r="A15" s="8"/>
      <c r="B15" s="14"/>
      <c r="C15" s="10"/>
      <c r="D15" s="10" t="s">
        <v>17</v>
      </c>
      <c r="E15" s="10" t="s">
        <v>57</v>
      </c>
      <c r="F15" s="13">
        <v>208949.3</v>
      </c>
      <c r="G15" s="13">
        <v>208949.3</v>
      </c>
    </row>
    <row r="16" ht="21.0" customHeight="1">
      <c r="A16" s="8"/>
      <c r="B16" s="14"/>
      <c r="C16" s="10"/>
      <c r="D16" s="10" t="s">
        <v>18</v>
      </c>
      <c r="E16" s="10" t="s">
        <v>57</v>
      </c>
      <c r="F16" s="13">
        <v>210694.0</v>
      </c>
      <c r="G16" s="13">
        <v>210694.0</v>
      </c>
    </row>
    <row r="17" ht="21.0" customHeight="1">
      <c r="A17" s="8"/>
      <c r="B17" s="14"/>
      <c r="C17" s="10"/>
      <c r="D17" s="10" t="s">
        <v>19</v>
      </c>
      <c r="E17" s="10" t="s">
        <v>57</v>
      </c>
      <c r="F17" s="13">
        <v>210694.0</v>
      </c>
      <c r="G17" s="13">
        <v>210694.0</v>
      </c>
    </row>
    <row r="18" ht="19.5" customHeight="1">
      <c r="A18" s="8"/>
      <c r="B18" s="14"/>
      <c r="C18" s="10"/>
      <c r="D18" s="10" t="s">
        <v>20</v>
      </c>
      <c r="E18" s="10" t="s">
        <v>61</v>
      </c>
      <c r="F18" s="13">
        <v>287166.0</v>
      </c>
      <c r="G18" s="10"/>
    </row>
    <row r="19" ht="19.5" customHeight="1">
      <c r="A19" s="8"/>
      <c r="B19" s="14"/>
      <c r="C19" s="10"/>
      <c r="D19" s="10"/>
      <c r="E19" s="10" t="s">
        <v>62</v>
      </c>
      <c r="F19" s="13">
        <v>195694.0</v>
      </c>
      <c r="G19" s="13">
        <f>sum(F18:F19)</f>
        <v>482860</v>
      </c>
    </row>
    <row r="20" ht="19.5" customHeight="1">
      <c r="A20" s="8"/>
      <c r="B20" s="14"/>
      <c r="C20" s="10"/>
      <c r="D20" s="10" t="s">
        <v>21</v>
      </c>
      <c r="E20" s="13" t="s">
        <v>58</v>
      </c>
      <c r="F20" s="13">
        <v>64000.0</v>
      </c>
      <c r="G20" s="10"/>
    </row>
    <row r="21" ht="19.5" customHeight="1">
      <c r="A21" s="8"/>
      <c r="B21" s="14"/>
      <c r="C21" s="10"/>
      <c r="D21" s="10"/>
      <c r="E21" s="13" t="s">
        <v>63</v>
      </c>
      <c r="F21" s="13">
        <v>195694.0</v>
      </c>
      <c r="G21" s="13">
        <f>sum(F20:F21)</f>
        <v>259694</v>
      </c>
    </row>
    <row r="22" ht="19.5" customHeight="1">
      <c r="A22" s="8"/>
      <c r="B22" s="14"/>
      <c r="C22" s="10"/>
      <c r="D22" s="10" t="s">
        <v>22</v>
      </c>
      <c r="E22" s="13" t="s">
        <v>64</v>
      </c>
      <c r="F22" s="13">
        <v>98000.0</v>
      </c>
      <c r="G22" s="10"/>
    </row>
    <row r="23" ht="19.5" customHeight="1">
      <c r="A23" s="8"/>
      <c r="B23" s="14"/>
      <c r="C23" s="10"/>
      <c r="D23" s="10"/>
      <c r="E23" s="13" t="s">
        <v>63</v>
      </c>
      <c r="F23" s="13">
        <v>293220.0</v>
      </c>
      <c r="G23" s="10"/>
    </row>
    <row r="24" ht="19.5" customHeight="1">
      <c r="A24" s="8"/>
      <c r="B24" s="14"/>
      <c r="C24" s="10"/>
      <c r="D24" s="10"/>
      <c r="E24" s="13" t="s">
        <v>64</v>
      </c>
      <c r="F24" s="13">
        <v>500000.0</v>
      </c>
      <c r="G24" s="13">
        <f>sum(F22:F24)</f>
        <v>891220</v>
      </c>
    </row>
    <row r="25" ht="19.5" customHeight="1">
      <c r="A25" s="8"/>
      <c r="B25" s="14"/>
      <c r="C25" s="10"/>
      <c r="D25" s="10" t="s">
        <v>23</v>
      </c>
      <c r="E25" s="10" t="s">
        <v>59</v>
      </c>
      <c r="F25" s="13">
        <v>500000.0</v>
      </c>
      <c r="G25" s="10"/>
    </row>
    <row r="26" ht="19.5" customHeight="1">
      <c r="A26" s="8"/>
      <c r="B26" s="14"/>
      <c r="C26" s="10"/>
      <c r="D26" s="10"/>
      <c r="E26" s="13" t="s">
        <v>64</v>
      </c>
      <c r="F26" s="13">
        <v>120000.0</v>
      </c>
      <c r="G26" s="10"/>
    </row>
    <row r="27" ht="19.5" customHeight="1">
      <c r="A27" s="8"/>
      <c r="B27" s="14"/>
      <c r="C27" s="10"/>
      <c r="D27" s="10"/>
      <c r="E27" s="13" t="s">
        <v>64</v>
      </c>
      <c r="F27" s="13">
        <v>120000.0</v>
      </c>
      <c r="G27" s="10"/>
    </row>
    <row r="28" ht="19.5" customHeight="1">
      <c r="A28" s="8"/>
      <c r="B28" s="14"/>
      <c r="C28" s="10"/>
      <c r="D28" s="10"/>
      <c r="E28" s="13" t="s">
        <v>64</v>
      </c>
      <c r="F28" s="13">
        <v>200000.0</v>
      </c>
      <c r="G28" s="10"/>
    </row>
    <row r="29" ht="19.5" customHeight="1">
      <c r="A29" s="8"/>
      <c r="B29" s="14"/>
      <c r="C29" s="10"/>
      <c r="D29" s="10"/>
      <c r="E29" s="13" t="s">
        <v>63</v>
      </c>
      <c r="F29" s="13">
        <v>203194.0</v>
      </c>
      <c r="G29" s="13">
        <f>sum(F25:F29)</f>
        <v>1143194</v>
      </c>
    </row>
    <row r="30" ht="19.5" customHeight="1">
      <c r="A30" s="8"/>
      <c r="B30" s="9" t="s">
        <v>24</v>
      </c>
      <c r="C30" s="10"/>
      <c r="D30" s="10"/>
      <c r="E30" s="10"/>
      <c r="F30" s="10"/>
      <c r="G30" s="13">
        <f>sum(G5:G29)</f>
        <v>4952469.9</v>
      </c>
    </row>
    <row r="31" ht="19.5" customHeight="1">
      <c r="A31" s="8"/>
      <c r="B31" s="9"/>
      <c r="C31" s="10"/>
      <c r="D31" s="10"/>
      <c r="E31" s="10"/>
      <c r="F31" s="10"/>
      <c r="G31" s="10"/>
    </row>
    <row r="32" ht="19.5" customHeight="1">
      <c r="A32" s="8"/>
      <c r="B32" s="14"/>
      <c r="C32" s="10"/>
      <c r="D32" s="10"/>
      <c r="E32" s="10"/>
      <c r="F32" s="10"/>
      <c r="G32" s="10"/>
    </row>
    <row r="33" ht="19.5" customHeight="1">
      <c r="A33" s="8"/>
      <c r="B33" s="14"/>
      <c r="C33" s="38">
        <v>2021.0</v>
      </c>
      <c r="D33" s="37" t="s">
        <v>12</v>
      </c>
      <c r="E33" s="37"/>
      <c r="F33" s="38"/>
      <c r="G33" s="10"/>
    </row>
    <row r="34" ht="19.5" customHeight="1">
      <c r="A34" s="8"/>
      <c r="B34" s="14"/>
      <c r="C34" s="54"/>
      <c r="D34" s="40" t="s">
        <v>13</v>
      </c>
      <c r="E34" s="41"/>
      <c r="F34" s="41"/>
      <c r="G34" s="10"/>
    </row>
    <row r="35" ht="19.5" customHeight="1">
      <c r="A35" s="8"/>
      <c r="B35" s="14"/>
      <c r="C35" s="74"/>
      <c r="D35" s="37" t="s">
        <v>14</v>
      </c>
      <c r="E35" s="10" t="s">
        <v>60</v>
      </c>
      <c r="F35" s="75">
        <v>700000.0</v>
      </c>
      <c r="G35" s="75">
        <v>700000.0</v>
      </c>
    </row>
    <row r="36" ht="19.5" customHeight="1">
      <c r="A36" s="8"/>
      <c r="B36" s="14"/>
      <c r="C36" s="54"/>
      <c r="D36" s="40" t="s">
        <v>15</v>
      </c>
      <c r="E36" s="50"/>
      <c r="F36" s="50"/>
      <c r="G36" s="10"/>
    </row>
    <row r="37" ht="19.5" customHeight="1">
      <c r="A37" s="8"/>
      <c r="B37" s="14"/>
      <c r="C37" s="74"/>
      <c r="D37" s="37" t="s">
        <v>16</v>
      </c>
      <c r="E37" s="37"/>
      <c r="F37" s="38"/>
      <c r="G37" s="10"/>
    </row>
    <row r="38" ht="19.5" customHeight="1">
      <c r="A38" s="8"/>
      <c r="B38" s="14"/>
      <c r="C38" s="54"/>
      <c r="D38" s="40" t="s">
        <v>17</v>
      </c>
      <c r="E38" s="64"/>
      <c r="F38" s="64"/>
      <c r="G38" s="10"/>
    </row>
    <row r="39" ht="19.5" customHeight="1">
      <c r="A39" s="8"/>
      <c r="B39" s="14"/>
      <c r="C39" s="74"/>
      <c r="D39" s="37" t="s">
        <v>18</v>
      </c>
      <c r="E39" s="76"/>
      <c r="F39" s="76"/>
      <c r="G39" s="10"/>
    </row>
    <row r="40" ht="19.5" customHeight="1">
      <c r="A40" s="8"/>
      <c r="B40" s="14"/>
      <c r="C40" s="54"/>
      <c r="D40" s="40" t="s">
        <v>19</v>
      </c>
      <c r="E40" s="64"/>
      <c r="F40" s="64"/>
      <c r="G40" s="10"/>
    </row>
    <row r="41" ht="19.5" customHeight="1">
      <c r="A41" s="8"/>
      <c r="B41" s="14"/>
      <c r="C41" s="74"/>
      <c r="D41" s="37" t="s">
        <v>20</v>
      </c>
      <c r="E41" s="76"/>
      <c r="F41" s="76"/>
      <c r="G41" s="10"/>
    </row>
    <row r="42" ht="19.5" customHeight="1">
      <c r="A42" s="8"/>
      <c r="B42" s="14"/>
      <c r="C42" s="54"/>
      <c r="D42" s="40" t="s">
        <v>21</v>
      </c>
      <c r="E42" s="64"/>
      <c r="F42" s="64"/>
      <c r="G42" s="10"/>
    </row>
    <row r="43" ht="19.5" customHeight="1">
      <c r="A43" s="8"/>
      <c r="B43" s="14"/>
      <c r="C43" s="74"/>
      <c r="D43" s="37" t="s">
        <v>22</v>
      </c>
      <c r="E43" s="76"/>
      <c r="F43" s="76"/>
      <c r="G43" s="10"/>
    </row>
    <row r="44" ht="19.5" customHeight="1">
      <c r="A44" s="8"/>
      <c r="B44" s="14"/>
      <c r="C44" s="54"/>
      <c r="D44" s="40" t="s">
        <v>23</v>
      </c>
      <c r="E44" s="64"/>
      <c r="F44" s="64"/>
      <c r="G44" s="10"/>
    </row>
    <row r="45" ht="19.5" customHeight="1">
      <c r="A45" s="8"/>
      <c r="B45" s="9" t="s">
        <v>24</v>
      </c>
      <c r="C45" s="54"/>
      <c r="D45" s="40"/>
      <c r="E45" s="77"/>
      <c r="F45" s="77"/>
      <c r="G45" s="10">
        <f>sum(G33:G44)</f>
        <v>700000</v>
      </c>
    </row>
    <row r="46" ht="19.5" customHeight="1">
      <c r="A46" s="8"/>
      <c r="B46" s="9"/>
      <c r="C46" s="54"/>
      <c r="D46" s="40"/>
      <c r="E46" s="77"/>
      <c r="F46" s="77"/>
      <c r="G46" s="10"/>
    </row>
    <row r="47" ht="19.5" customHeight="1">
      <c r="A47" s="8"/>
      <c r="B47" s="9"/>
      <c r="C47" s="54"/>
      <c r="D47" s="40"/>
      <c r="E47" s="77"/>
      <c r="F47" s="77"/>
      <c r="G47" s="10"/>
    </row>
    <row r="48" ht="19.5" customHeight="1">
      <c r="A48" s="8"/>
      <c r="B48" s="14"/>
      <c r="C48" s="38">
        <v>2022.0</v>
      </c>
      <c r="D48" s="37" t="s">
        <v>12</v>
      </c>
      <c r="E48" s="37"/>
      <c r="F48" s="38"/>
      <c r="G48" s="10"/>
    </row>
    <row r="49" ht="19.5" customHeight="1">
      <c r="A49" s="8"/>
      <c r="B49" s="14"/>
      <c r="C49" s="54"/>
      <c r="D49" s="40" t="s">
        <v>13</v>
      </c>
      <c r="E49" s="41"/>
      <c r="F49" s="41"/>
      <c r="G49" s="10"/>
    </row>
    <row r="50" ht="19.5" customHeight="1">
      <c r="A50" s="8"/>
      <c r="B50" s="14"/>
      <c r="C50" s="74"/>
      <c r="D50" s="37" t="s">
        <v>14</v>
      </c>
      <c r="E50" s="78"/>
      <c r="F50" s="78"/>
      <c r="G50" s="10"/>
    </row>
    <row r="51" ht="19.5" customHeight="1">
      <c r="A51" s="8"/>
      <c r="B51" s="14"/>
      <c r="C51" s="54"/>
      <c r="D51" s="40" t="s">
        <v>15</v>
      </c>
      <c r="E51" s="50"/>
      <c r="F51" s="50"/>
      <c r="G51" s="10"/>
    </row>
    <row r="52" ht="19.5" customHeight="1">
      <c r="A52" s="8"/>
      <c r="B52" s="14"/>
      <c r="C52" s="74"/>
      <c r="D52" s="37" t="s">
        <v>16</v>
      </c>
      <c r="E52" s="37"/>
      <c r="F52" s="38"/>
      <c r="G52" s="10"/>
    </row>
    <row r="53" ht="19.5" customHeight="1">
      <c r="A53" s="8"/>
      <c r="B53" s="14"/>
      <c r="C53" s="54"/>
      <c r="D53" s="40" t="s">
        <v>17</v>
      </c>
      <c r="E53" s="13" t="s">
        <v>64</v>
      </c>
      <c r="F53" s="38">
        <v>721633.0</v>
      </c>
      <c r="G53" s="10"/>
    </row>
    <row r="54" ht="19.5" customHeight="1">
      <c r="A54" s="8"/>
      <c r="B54" s="14"/>
      <c r="C54" s="54"/>
      <c r="D54" s="40"/>
      <c r="E54" s="13" t="s">
        <v>63</v>
      </c>
      <c r="F54" s="38" t="s">
        <v>65</v>
      </c>
      <c r="G54" s="10">
        <f>sum(F53:F54)</f>
        <v>721633</v>
      </c>
    </row>
    <row r="55" ht="19.5" customHeight="1">
      <c r="A55" s="8"/>
      <c r="B55" s="14"/>
      <c r="C55" s="74"/>
      <c r="D55" s="37" t="s">
        <v>18</v>
      </c>
      <c r="E55" s="37"/>
      <c r="F55" s="38"/>
      <c r="G55" s="10"/>
    </row>
    <row r="56" ht="19.5" customHeight="1">
      <c r="A56" s="8"/>
      <c r="B56" s="14"/>
      <c r="C56" s="54"/>
      <c r="D56" s="40" t="s">
        <v>19</v>
      </c>
      <c r="E56" s="37"/>
      <c r="F56" s="38"/>
      <c r="G56" s="10"/>
    </row>
    <row r="57" ht="19.5" customHeight="1">
      <c r="A57" s="8"/>
      <c r="B57" s="14"/>
      <c r="C57" s="74"/>
      <c r="D57" s="37" t="s">
        <v>20</v>
      </c>
      <c r="E57" s="37"/>
      <c r="F57" s="38"/>
      <c r="G57" s="10"/>
    </row>
    <row r="58" ht="19.5" customHeight="1">
      <c r="A58" s="8"/>
      <c r="B58" s="14"/>
      <c r="C58" s="54"/>
      <c r="D58" s="40" t="s">
        <v>21</v>
      </c>
      <c r="E58" s="37"/>
      <c r="F58" s="38"/>
      <c r="G58" s="10"/>
    </row>
    <row r="59" ht="19.5" customHeight="1">
      <c r="A59" s="8"/>
      <c r="B59" s="14"/>
      <c r="C59" s="74"/>
      <c r="D59" s="37" t="s">
        <v>22</v>
      </c>
      <c r="E59" s="37"/>
      <c r="F59" s="38"/>
      <c r="G59" s="10"/>
    </row>
    <row r="60" ht="19.5" customHeight="1">
      <c r="A60" s="8"/>
      <c r="B60" s="14"/>
      <c r="C60" s="54"/>
      <c r="D60" s="40" t="s">
        <v>23</v>
      </c>
      <c r="E60" s="10" t="s">
        <v>61</v>
      </c>
      <c r="F60" s="38">
        <v>160000.0</v>
      </c>
      <c r="G60" s="38">
        <v>160000.0</v>
      </c>
    </row>
    <row r="61" ht="19.5" customHeight="1">
      <c r="A61" s="8"/>
      <c r="B61" s="9" t="s">
        <v>24</v>
      </c>
      <c r="C61" s="54"/>
      <c r="D61" s="40"/>
      <c r="E61" s="77"/>
      <c r="F61" s="77"/>
      <c r="G61" s="10">
        <f>sum(G48:G60)</f>
        <v>881633</v>
      </c>
    </row>
    <row r="62" ht="19.5" customHeight="1">
      <c r="A62" s="8"/>
      <c r="B62" s="9"/>
      <c r="C62" s="54"/>
      <c r="D62" s="40"/>
      <c r="E62" s="77"/>
      <c r="F62" s="77"/>
      <c r="G62" s="10"/>
    </row>
    <row r="63" ht="19.5" customHeight="1">
      <c r="A63" s="8"/>
      <c r="B63" s="9"/>
      <c r="C63" s="54"/>
      <c r="D63" s="40"/>
      <c r="E63" s="77"/>
      <c r="F63" s="77"/>
      <c r="G63" s="10"/>
    </row>
    <row r="64" ht="19.5" customHeight="1">
      <c r="A64" s="8"/>
      <c r="B64" s="14"/>
      <c r="C64" s="38">
        <v>2023.0</v>
      </c>
      <c r="D64" s="37" t="s">
        <v>12</v>
      </c>
      <c r="E64" s="37"/>
      <c r="F64" s="38"/>
      <c r="G64" s="10"/>
    </row>
    <row r="65" ht="19.5" customHeight="1">
      <c r="A65" s="8"/>
      <c r="B65" s="14"/>
      <c r="C65" s="54"/>
      <c r="D65" s="37" t="s">
        <v>13</v>
      </c>
      <c r="E65" s="37"/>
      <c r="F65" s="38"/>
      <c r="G65" s="10"/>
    </row>
    <row r="66" ht="19.5" customHeight="1">
      <c r="A66" s="8"/>
      <c r="B66" s="14" t="s">
        <v>66</v>
      </c>
      <c r="C66" s="74"/>
      <c r="D66" s="37" t="s">
        <v>14</v>
      </c>
      <c r="E66" s="37"/>
      <c r="F66" s="38"/>
      <c r="G66" s="10"/>
    </row>
    <row r="67" ht="19.5" customHeight="1">
      <c r="A67" s="8"/>
      <c r="B67" s="14"/>
      <c r="C67" s="54"/>
      <c r="D67" s="37" t="s">
        <v>15</v>
      </c>
      <c r="E67" s="10" t="s">
        <v>60</v>
      </c>
      <c r="F67" s="38">
        <v>1145177.0</v>
      </c>
      <c r="G67" s="10"/>
    </row>
    <row r="68" ht="19.5" customHeight="1">
      <c r="A68" s="8"/>
      <c r="B68" s="14"/>
      <c r="C68" s="54"/>
      <c r="D68" s="37"/>
      <c r="E68" s="10" t="s">
        <v>60</v>
      </c>
      <c r="F68" s="38">
        <v>409486.0</v>
      </c>
      <c r="G68" s="10">
        <f>sum(F67:F68)</f>
        <v>1554663</v>
      </c>
    </row>
    <row r="69" ht="19.5" customHeight="1">
      <c r="A69" s="8"/>
      <c r="B69" s="14"/>
      <c r="C69" s="74"/>
      <c r="D69" s="37" t="s">
        <v>16</v>
      </c>
      <c r="E69" s="37"/>
      <c r="F69" s="38"/>
      <c r="G69" s="10"/>
    </row>
    <row r="70" ht="19.5" customHeight="1">
      <c r="A70" s="8"/>
      <c r="B70" s="14"/>
      <c r="C70" s="54"/>
      <c r="D70" s="37" t="s">
        <v>17</v>
      </c>
      <c r="E70" s="37"/>
      <c r="F70" s="38"/>
      <c r="G70" s="10"/>
    </row>
    <row r="71" ht="19.5" customHeight="1">
      <c r="A71" s="8"/>
      <c r="B71" s="14"/>
      <c r="C71" s="74"/>
      <c r="D71" s="37" t="s">
        <v>18</v>
      </c>
      <c r="E71" s="37"/>
      <c r="F71" s="38"/>
      <c r="G71" s="10"/>
    </row>
    <row r="72" ht="19.5" customHeight="1">
      <c r="A72" s="8"/>
      <c r="B72" s="14"/>
      <c r="C72" s="54"/>
      <c r="D72" s="40" t="s">
        <v>19</v>
      </c>
      <c r="E72" s="13" t="s">
        <v>64</v>
      </c>
      <c r="F72" s="38">
        <v>206346.0</v>
      </c>
      <c r="G72" s="10"/>
    </row>
    <row r="73" ht="19.5" customHeight="1">
      <c r="A73" s="8"/>
      <c r="B73" s="14"/>
      <c r="C73" s="74"/>
      <c r="D73" s="37"/>
      <c r="E73" s="13" t="s">
        <v>67</v>
      </c>
      <c r="F73" s="57">
        <v>195688.65</v>
      </c>
      <c r="G73" s="10"/>
    </row>
    <row r="74" ht="19.5" customHeight="1">
      <c r="A74" s="8"/>
      <c r="B74" s="14"/>
      <c r="C74" s="74"/>
      <c r="D74" s="37"/>
      <c r="E74" s="13" t="s">
        <v>68</v>
      </c>
      <c r="F74" s="57">
        <v>201660.65</v>
      </c>
      <c r="G74" s="10">
        <f>sum(F72:F74)</f>
        <v>603695.3</v>
      </c>
    </row>
    <row r="75" ht="19.5" customHeight="1">
      <c r="A75" s="8"/>
      <c r="B75" s="14"/>
      <c r="C75" s="74"/>
      <c r="D75" s="37" t="s">
        <v>20</v>
      </c>
      <c r="E75" s="38" t="s">
        <v>69</v>
      </c>
      <c r="F75" s="57">
        <v>2098763.15</v>
      </c>
      <c r="G75" s="10"/>
    </row>
    <row r="76" ht="19.5" customHeight="1">
      <c r="A76" s="8"/>
      <c r="B76" s="14"/>
      <c r="C76" s="74"/>
      <c r="D76" s="37"/>
      <c r="E76" s="10" t="s">
        <v>60</v>
      </c>
      <c r="F76" s="57">
        <v>250000.0</v>
      </c>
      <c r="G76" s="10"/>
    </row>
    <row r="77" ht="19.5" customHeight="1">
      <c r="A77" s="8"/>
      <c r="B77" s="14"/>
      <c r="C77" s="74"/>
      <c r="D77" s="37"/>
      <c r="E77" s="10" t="s">
        <v>60</v>
      </c>
      <c r="F77" s="57">
        <v>140000.0</v>
      </c>
      <c r="G77" s="10"/>
    </row>
    <row r="78" ht="19.5" customHeight="1">
      <c r="A78" s="8"/>
      <c r="B78" s="14"/>
      <c r="C78" s="54"/>
      <c r="D78" s="40"/>
      <c r="E78" s="13" t="s">
        <v>67</v>
      </c>
      <c r="F78" s="57">
        <v>198829.95</v>
      </c>
      <c r="G78" s="32">
        <f>sum(F75:F78)</f>
        <v>2687593.1</v>
      </c>
    </row>
    <row r="79" ht="19.5" customHeight="1">
      <c r="A79" s="8"/>
      <c r="B79" s="14"/>
      <c r="C79" s="54"/>
      <c r="D79" s="40" t="s">
        <v>21</v>
      </c>
      <c r="E79" s="13" t="s">
        <v>67</v>
      </c>
      <c r="F79" s="57">
        <v>198829.95</v>
      </c>
      <c r="G79" s="57">
        <v>198829.95</v>
      </c>
    </row>
    <row r="80" ht="19.5" customHeight="1">
      <c r="A80" s="8"/>
      <c r="B80" s="14"/>
      <c r="C80" s="74"/>
      <c r="D80" s="37" t="s">
        <v>22</v>
      </c>
      <c r="E80" s="13" t="s">
        <v>67</v>
      </c>
      <c r="F80" s="57">
        <v>198829.95</v>
      </c>
      <c r="G80" s="57">
        <v>198829.95</v>
      </c>
    </row>
    <row r="81" ht="19.5" customHeight="1">
      <c r="A81" s="8"/>
      <c r="B81" s="14"/>
      <c r="C81" s="54"/>
      <c r="D81" s="40" t="s">
        <v>23</v>
      </c>
      <c r="E81" s="13" t="s">
        <v>68</v>
      </c>
      <c r="F81" s="35">
        <v>168000.0</v>
      </c>
      <c r="G81" s="10"/>
    </row>
    <row r="82" ht="19.5" customHeight="1">
      <c r="A82" s="8"/>
      <c r="B82" s="14"/>
      <c r="C82" s="54"/>
      <c r="D82" s="40"/>
      <c r="E82" s="13" t="s">
        <v>67</v>
      </c>
      <c r="F82" s="35">
        <v>205679.95</v>
      </c>
      <c r="G82" s="13">
        <f>sum(F81:F82)</f>
        <v>373679.95</v>
      </c>
    </row>
    <row r="83" ht="19.5" customHeight="1">
      <c r="A83" s="8"/>
      <c r="B83" s="9" t="s">
        <v>24</v>
      </c>
      <c r="C83" s="54"/>
      <c r="D83" s="40"/>
      <c r="E83" s="77"/>
      <c r="F83" s="64"/>
      <c r="G83" s="10">
        <f>sum(G64:G82)</f>
        <v>5617291.25</v>
      </c>
    </row>
    <row r="84" ht="19.5" customHeight="1">
      <c r="A84" s="8"/>
      <c r="B84" s="9"/>
      <c r="C84" s="54"/>
      <c r="D84" s="40"/>
      <c r="E84" s="77"/>
      <c r="F84" s="64"/>
      <c r="G84" s="10"/>
    </row>
    <row r="85" ht="19.5" customHeight="1">
      <c r="A85" s="8"/>
      <c r="B85" s="9"/>
      <c r="C85" s="54"/>
      <c r="D85" s="40"/>
      <c r="E85" s="77"/>
      <c r="F85" s="77"/>
      <c r="G85" s="10"/>
    </row>
    <row r="86" ht="19.5" customHeight="1">
      <c r="A86" s="8"/>
      <c r="B86" s="14"/>
      <c r="C86" s="38">
        <v>2024.0</v>
      </c>
      <c r="D86" s="37" t="s">
        <v>12</v>
      </c>
      <c r="E86" s="10" t="s">
        <v>60</v>
      </c>
      <c r="F86" s="35">
        <v>50000.0</v>
      </c>
      <c r="G86" s="10"/>
    </row>
    <row r="87" ht="19.5" customHeight="1">
      <c r="A87" s="8"/>
      <c r="B87" s="14"/>
      <c r="C87" s="38"/>
      <c r="D87" s="37"/>
      <c r="E87" s="10" t="s">
        <v>60</v>
      </c>
      <c r="F87" s="35">
        <v>70000.0</v>
      </c>
      <c r="G87" s="10"/>
    </row>
    <row r="88" ht="19.5" customHeight="1">
      <c r="A88" s="8"/>
      <c r="B88" s="14"/>
      <c r="C88" s="38"/>
      <c r="D88" s="37"/>
      <c r="E88" s="10" t="s">
        <v>60</v>
      </c>
      <c r="F88" s="35">
        <v>200000.0</v>
      </c>
      <c r="G88" s="10"/>
    </row>
    <row r="89" ht="19.5" customHeight="1">
      <c r="A89" s="8"/>
      <c r="B89" s="14"/>
      <c r="C89" s="38"/>
      <c r="D89" s="37"/>
      <c r="E89" s="13" t="s">
        <v>67</v>
      </c>
      <c r="F89" s="58">
        <v>198829.95</v>
      </c>
      <c r="G89" s="10"/>
    </row>
    <row r="90" ht="19.5" customHeight="1">
      <c r="A90" s="8"/>
      <c r="B90" s="14"/>
      <c r="C90" s="38"/>
      <c r="D90" s="37"/>
      <c r="E90" s="38" t="s">
        <v>70</v>
      </c>
      <c r="F90" s="58">
        <v>116550.0</v>
      </c>
      <c r="G90" s="13">
        <f>sum(F86:F90)</f>
        <v>635379.95</v>
      </c>
    </row>
    <row r="91" ht="19.5" customHeight="1">
      <c r="A91" s="8"/>
      <c r="B91" s="14"/>
      <c r="C91" s="54"/>
      <c r="D91" s="40" t="s">
        <v>13</v>
      </c>
      <c r="E91" s="10" t="s">
        <v>60</v>
      </c>
      <c r="F91" s="58">
        <v>300000.0</v>
      </c>
      <c r="G91" s="10"/>
    </row>
    <row r="92" ht="19.5" customHeight="1">
      <c r="A92" s="8"/>
      <c r="B92" s="14"/>
      <c r="C92" s="54"/>
      <c r="D92" s="40"/>
      <c r="E92" s="10" t="s">
        <v>60</v>
      </c>
      <c r="F92" s="58">
        <v>110000.0</v>
      </c>
      <c r="G92" s="32">
        <f>sum(F91:F92)</f>
        <v>410000</v>
      </c>
    </row>
    <row r="93" ht="19.5" customHeight="1">
      <c r="A93" s="8"/>
      <c r="B93" s="14"/>
      <c r="C93" s="74"/>
      <c r="D93" s="37" t="s">
        <v>14</v>
      </c>
      <c r="E93" s="13" t="s">
        <v>68</v>
      </c>
      <c r="F93" s="75">
        <v>100800.0</v>
      </c>
      <c r="G93" s="10"/>
    </row>
    <row r="94" ht="19.5" customHeight="1">
      <c r="A94" s="8"/>
      <c r="B94" s="14"/>
      <c r="C94" s="74"/>
      <c r="D94" s="37"/>
      <c r="E94" s="10" t="s">
        <v>60</v>
      </c>
      <c r="F94" s="75">
        <v>150000.0</v>
      </c>
      <c r="G94" s="10"/>
    </row>
    <row r="95" ht="19.5" customHeight="1">
      <c r="A95" s="8"/>
      <c r="B95" s="14"/>
      <c r="C95" s="74"/>
      <c r="D95" s="37"/>
      <c r="E95" s="13" t="s">
        <v>68</v>
      </c>
      <c r="F95" s="75">
        <v>198829.95</v>
      </c>
      <c r="G95" s="13">
        <f>sum(F94:F95)</f>
        <v>348829.95</v>
      </c>
    </row>
    <row r="96" ht="19.5" customHeight="1">
      <c r="A96" s="8"/>
      <c r="B96" s="14"/>
      <c r="C96" s="54"/>
      <c r="D96" s="40" t="s">
        <v>15</v>
      </c>
      <c r="E96" s="13" t="s">
        <v>67</v>
      </c>
      <c r="F96" s="58">
        <v>198829.95</v>
      </c>
      <c r="G96" s="58">
        <v>198829.95</v>
      </c>
    </row>
    <row r="97" ht="19.5" customHeight="1">
      <c r="A97" s="8"/>
      <c r="B97" s="14"/>
      <c r="C97" s="74"/>
      <c r="D97" s="37" t="s">
        <v>16</v>
      </c>
      <c r="E97" s="37"/>
      <c r="F97" s="38"/>
      <c r="G97" s="10"/>
    </row>
    <row r="98" ht="19.5" customHeight="1">
      <c r="A98" s="8"/>
      <c r="B98" s="14"/>
      <c r="C98" s="54"/>
      <c r="D98" s="40" t="s">
        <v>17</v>
      </c>
      <c r="E98" s="64"/>
      <c r="F98" s="64"/>
      <c r="G98" s="10"/>
    </row>
    <row r="99" ht="19.5" customHeight="1">
      <c r="A99" s="8"/>
      <c r="B99" s="14"/>
      <c r="C99" s="74"/>
      <c r="D99" s="37" t="s">
        <v>18</v>
      </c>
      <c r="E99" s="76"/>
      <c r="F99" s="76"/>
      <c r="G99" s="10"/>
    </row>
    <row r="100" ht="19.5" customHeight="1">
      <c r="A100" s="8"/>
      <c r="B100" s="14"/>
      <c r="C100" s="54"/>
      <c r="D100" s="40" t="s">
        <v>19</v>
      </c>
      <c r="E100" s="64"/>
      <c r="F100" s="64"/>
      <c r="G100" s="10"/>
    </row>
    <row r="101" ht="19.5" customHeight="1">
      <c r="A101" s="8"/>
      <c r="B101" s="14"/>
      <c r="C101" s="74"/>
      <c r="D101" s="37" t="s">
        <v>20</v>
      </c>
      <c r="E101" s="10" t="s">
        <v>60</v>
      </c>
      <c r="F101" s="76">
        <v>2000000.0</v>
      </c>
      <c r="G101" s="10">
        <v>2000000.0</v>
      </c>
    </row>
    <row r="102" ht="19.5" customHeight="1">
      <c r="A102" s="8"/>
      <c r="B102" s="14"/>
      <c r="C102" s="54"/>
      <c r="D102" s="40" t="s">
        <v>21</v>
      </c>
      <c r="E102" s="64"/>
      <c r="F102" s="64"/>
      <c r="G102" s="10"/>
    </row>
    <row r="103" ht="19.5" customHeight="1">
      <c r="A103" s="8"/>
      <c r="B103" s="14"/>
      <c r="C103" s="74"/>
      <c r="D103" s="37" t="s">
        <v>22</v>
      </c>
      <c r="E103" s="10" t="s">
        <v>60</v>
      </c>
      <c r="F103" s="79">
        <v>150000.0</v>
      </c>
      <c r="G103" s="79">
        <v>150000.0</v>
      </c>
    </row>
    <row r="104" ht="19.5" customHeight="1">
      <c r="A104" s="8"/>
      <c r="B104" s="14"/>
      <c r="C104" s="54"/>
      <c r="D104" s="40" t="s">
        <v>23</v>
      </c>
      <c r="E104" s="10" t="s">
        <v>60</v>
      </c>
      <c r="F104" s="80">
        <v>250000.0</v>
      </c>
      <c r="G104" s="80">
        <v>250000.0</v>
      </c>
    </row>
    <row r="105" ht="19.5" customHeight="1">
      <c r="A105" s="8"/>
      <c r="B105" s="9" t="s">
        <v>24</v>
      </c>
      <c r="C105" s="54"/>
      <c r="D105" s="40"/>
      <c r="E105" s="77"/>
      <c r="F105" s="77"/>
      <c r="G105" s="10">
        <f>sum(G86:G104)</f>
        <v>3993039.85</v>
      </c>
    </row>
    <row r="106" ht="19.5" customHeight="1">
      <c r="A106" s="8"/>
      <c r="B106" s="9"/>
      <c r="C106" s="54"/>
      <c r="D106" s="40"/>
      <c r="E106" s="77"/>
      <c r="F106" s="77"/>
      <c r="G106" s="10"/>
    </row>
    <row r="107" ht="19.5" customHeight="1">
      <c r="A107" s="8"/>
      <c r="B107" s="9"/>
      <c r="C107" s="54"/>
      <c r="D107" s="40"/>
      <c r="E107" s="77"/>
      <c r="F107" s="77"/>
      <c r="G107" s="10"/>
    </row>
    <row r="108" ht="19.5" customHeight="1">
      <c r="A108" s="8"/>
      <c r="B108" s="14"/>
      <c r="C108" s="38">
        <v>2025.0</v>
      </c>
      <c r="D108" s="37" t="s">
        <v>12</v>
      </c>
      <c r="E108" s="13" t="s">
        <v>68</v>
      </c>
      <c r="F108" s="38">
        <v>58117.0</v>
      </c>
      <c r="G108" s="10"/>
    </row>
    <row r="109" ht="19.5" customHeight="1">
      <c r="A109" s="8"/>
      <c r="B109" s="14"/>
      <c r="C109" s="38"/>
      <c r="D109" s="37"/>
      <c r="E109" s="10" t="s">
        <v>60</v>
      </c>
      <c r="F109" s="38">
        <v>150000.0</v>
      </c>
      <c r="G109" s="10"/>
    </row>
    <row r="110" ht="19.5" customHeight="1">
      <c r="A110" s="8"/>
      <c r="B110" s="14"/>
      <c r="C110" s="38"/>
      <c r="D110" s="37"/>
      <c r="E110" s="38" t="s">
        <v>70</v>
      </c>
      <c r="F110" s="38">
        <v>122377.0</v>
      </c>
      <c r="G110" s="10">
        <f>sum(F108:F110)</f>
        <v>330494</v>
      </c>
    </row>
    <row r="111" ht="19.5" customHeight="1">
      <c r="A111" s="8"/>
      <c r="B111" s="14"/>
      <c r="C111" s="54"/>
      <c r="D111" s="40" t="s">
        <v>13</v>
      </c>
      <c r="E111" s="10" t="s">
        <v>60</v>
      </c>
      <c r="F111" s="41">
        <v>200000.0</v>
      </c>
      <c r="G111" s="41">
        <v>200000.0</v>
      </c>
    </row>
    <row r="112" ht="19.5" customHeight="1">
      <c r="A112" s="8"/>
      <c r="B112" s="14"/>
      <c r="C112" s="74"/>
      <c r="D112" s="37" t="s">
        <v>14</v>
      </c>
      <c r="E112" s="10" t="s">
        <v>60</v>
      </c>
      <c r="F112" s="78">
        <v>70000.0</v>
      </c>
      <c r="G112" s="10"/>
    </row>
    <row r="113" ht="19.5" customHeight="1">
      <c r="A113" s="8"/>
      <c r="B113" s="14"/>
      <c r="C113" s="74"/>
      <c r="D113" s="37"/>
      <c r="E113" s="10" t="s">
        <v>60</v>
      </c>
      <c r="F113" s="78">
        <v>250000.0</v>
      </c>
      <c r="G113" s="10">
        <f>sum(F112:F113)</f>
        <v>320000</v>
      </c>
    </row>
    <row r="114" ht="19.5" customHeight="1">
      <c r="A114" s="8"/>
      <c r="B114" s="14"/>
      <c r="C114" s="54"/>
      <c r="D114" s="40" t="s">
        <v>15</v>
      </c>
      <c r="E114" s="10" t="s">
        <v>60</v>
      </c>
      <c r="F114" s="50">
        <v>200000.0</v>
      </c>
      <c r="G114" s="10"/>
    </row>
    <row r="115" ht="19.5" customHeight="1">
      <c r="A115" s="8"/>
      <c r="B115" s="14"/>
      <c r="C115" s="54"/>
      <c r="D115" s="40"/>
      <c r="E115" s="50" t="s">
        <v>71</v>
      </c>
      <c r="F115" s="50">
        <v>166564.0</v>
      </c>
      <c r="G115" s="13">
        <f>sum(F114:F115)</f>
        <v>366564</v>
      </c>
    </row>
    <row r="116" ht="19.5" customHeight="1">
      <c r="A116" s="8"/>
      <c r="B116" s="14"/>
      <c r="C116" s="74"/>
      <c r="D116" s="37" t="s">
        <v>16</v>
      </c>
      <c r="E116" s="10" t="s">
        <v>60</v>
      </c>
      <c r="F116" s="38">
        <v>350000.0</v>
      </c>
      <c r="G116" s="10"/>
    </row>
    <row r="117" ht="19.5" customHeight="1">
      <c r="A117" s="8"/>
      <c r="B117" s="14"/>
      <c r="C117" s="74"/>
      <c r="D117" s="37"/>
      <c r="E117" s="38" t="s">
        <v>71</v>
      </c>
      <c r="F117" s="38">
        <v>83282.0</v>
      </c>
      <c r="G117" s="10">
        <f>sum(F116:F117)</f>
        <v>433282</v>
      </c>
    </row>
    <row r="118" ht="19.5" customHeight="1">
      <c r="A118" s="8"/>
      <c r="B118" s="14"/>
      <c r="C118" s="54"/>
      <c r="D118" s="40" t="s">
        <v>17</v>
      </c>
      <c r="E118" s="77"/>
      <c r="F118" s="64"/>
      <c r="G118" s="10"/>
    </row>
    <row r="119" ht="19.5" customHeight="1">
      <c r="A119" s="8"/>
      <c r="B119" s="14"/>
      <c r="C119" s="74"/>
      <c r="D119" s="37" t="s">
        <v>18</v>
      </c>
      <c r="E119" s="81"/>
      <c r="F119" s="81"/>
      <c r="G119" s="10"/>
    </row>
    <row r="120" ht="19.5" customHeight="1">
      <c r="A120" s="8"/>
      <c r="B120" s="14"/>
      <c r="C120" s="54"/>
      <c r="D120" s="40" t="s">
        <v>19</v>
      </c>
      <c r="E120" s="77"/>
      <c r="F120" s="77"/>
      <c r="G120" s="10"/>
    </row>
    <row r="121" ht="19.5" customHeight="1">
      <c r="A121" s="8"/>
      <c r="B121" s="14"/>
      <c r="C121" s="74"/>
      <c r="D121" s="37" t="s">
        <v>20</v>
      </c>
      <c r="E121" s="81"/>
      <c r="F121" s="81"/>
      <c r="G121" s="10"/>
    </row>
    <row r="122" ht="19.5" customHeight="1">
      <c r="A122" s="8"/>
      <c r="B122" s="14"/>
      <c r="C122" s="54"/>
      <c r="D122" s="40" t="s">
        <v>21</v>
      </c>
      <c r="E122" s="77"/>
      <c r="F122" s="77"/>
      <c r="G122" s="10"/>
    </row>
    <row r="123" ht="19.5" customHeight="1">
      <c r="A123" s="8"/>
      <c r="B123" s="14"/>
      <c r="C123" s="74"/>
      <c r="D123" s="37" t="s">
        <v>22</v>
      </c>
      <c r="E123" s="81"/>
      <c r="F123" s="81"/>
      <c r="G123" s="10"/>
    </row>
    <row r="124" ht="19.5" customHeight="1">
      <c r="A124" s="8"/>
      <c r="B124" s="14"/>
      <c r="C124" s="54"/>
      <c r="D124" s="40" t="s">
        <v>23</v>
      </c>
      <c r="E124" s="77"/>
      <c r="F124" s="77"/>
      <c r="G124" s="10"/>
    </row>
    <row r="125" ht="19.5" customHeight="1">
      <c r="A125" s="8"/>
      <c r="B125" s="9" t="s">
        <v>24</v>
      </c>
      <c r="C125" s="54"/>
      <c r="D125" s="40"/>
      <c r="E125" s="77"/>
      <c r="F125" s="77"/>
      <c r="G125" s="10">
        <f>sum(G108:G124)</f>
        <v>1650340</v>
      </c>
    </row>
    <row r="126" ht="19.5" customHeight="1">
      <c r="A126" s="8"/>
      <c r="B126" s="9" t="s">
        <v>72</v>
      </c>
      <c r="C126" s="54"/>
      <c r="D126" s="40"/>
      <c r="E126" s="77"/>
      <c r="F126" s="77"/>
      <c r="G126" s="10">
        <f>sum(G125,G105,G83,G61,G45,G30)</f>
        <v>17794774</v>
      </c>
    </row>
  </sheetData>
  <mergeCells count="2">
    <mergeCell ref="B1:E1"/>
    <mergeCell ref="B3:G3"/>
  </mergeCell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  <col customWidth="1" min="5" max="5" width="52.63"/>
    <col customWidth="1" min="6" max="6" width="32.63"/>
    <col customWidth="1" min="7" max="7" width="24.63"/>
  </cols>
  <sheetData>
    <row r="1" ht="70.5" customHeight="1">
      <c r="A1" s="1"/>
      <c r="B1" s="2" t="s">
        <v>0</v>
      </c>
      <c r="F1" s="2"/>
      <c r="G1" s="2">
        <v>2025.0</v>
      </c>
    </row>
    <row r="2" ht="12.0" customHeight="1">
      <c r="A2" s="1"/>
      <c r="B2" s="3"/>
      <c r="C2" s="3"/>
      <c r="D2" s="3"/>
      <c r="E2" s="3"/>
      <c r="F2" s="3"/>
      <c r="G2" s="3"/>
    </row>
    <row r="3" ht="30.0" customHeight="1">
      <c r="A3" s="4"/>
      <c r="B3" s="5"/>
    </row>
    <row r="4" ht="24.0" customHeight="1">
      <c r="A4" s="6"/>
      <c r="B4" s="7" t="s">
        <v>8</v>
      </c>
      <c r="C4" s="7" t="s">
        <v>1</v>
      </c>
      <c r="D4" s="7" t="s">
        <v>9</v>
      </c>
      <c r="E4" s="7" t="s">
        <v>54</v>
      </c>
      <c r="F4" s="7" t="s">
        <v>55</v>
      </c>
      <c r="G4" s="7" t="s">
        <v>6</v>
      </c>
    </row>
    <row r="5" ht="21.0" customHeight="1">
      <c r="A5" s="8"/>
      <c r="B5" s="14" t="s">
        <v>73</v>
      </c>
      <c r="C5" s="10">
        <v>2020.0</v>
      </c>
      <c r="D5" s="10" t="s">
        <v>12</v>
      </c>
      <c r="E5" s="38" t="s">
        <v>74</v>
      </c>
      <c r="F5" s="13">
        <v>194022.0</v>
      </c>
      <c r="G5" s="13">
        <v>194022.0</v>
      </c>
    </row>
    <row r="6" ht="21.0" customHeight="1">
      <c r="A6" s="8"/>
      <c r="B6" s="14"/>
      <c r="C6" s="10"/>
      <c r="D6" s="10" t="s">
        <v>13</v>
      </c>
      <c r="E6" s="38" t="s">
        <v>58</v>
      </c>
      <c r="F6" s="13">
        <v>88200.0</v>
      </c>
      <c r="G6" s="10"/>
    </row>
    <row r="7" ht="21.0" customHeight="1">
      <c r="A7" s="8"/>
      <c r="B7" s="14"/>
      <c r="C7" s="10"/>
      <c r="D7" s="10"/>
      <c r="E7" s="38" t="s">
        <v>74</v>
      </c>
      <c r="F7" s="13">
        <v>194022.0</v>
      </c>
      <c r="G7" s="10"/>
    </row>
    <row r="8" ht="21.0" customHeight="1">
      <c r="A8" s="8"/>
      <c r="B8" s="14"/>
      <c r="C8" s="10"/>
      <c r="D8" s="10"/>
      <c r="E8" s="10" t="s">
        <v>59</v>
      </c>
      <c r="F8" s="13">
        <v>150000.0</v>
      </c>
      <c r="G8" s="10"/>
    </row>
    <row r="9" ht="21.0" customHeight="1">
      <c r="A9" s="8"/>
      <c r="B9" s="14"/>
      <c r="C9" s="10"/>
      <c r="D9" s="10"/>
      <c r="E9" s="82" t="s">
        <v>75</v>
      </c>
      <c r="F9" s="13">
        <v>130000.0</v>
      </c>
      <c r="G9" s="13">
        <f>sum(F6:F9)</f>
        <v>562222</v>
      </c>
    </row>
    <row r="10" ht="21.0" customHeight="1">
      <c r="A10" s="8"/>
      <c r="B10" s="14"/>
      <c r="C10" s="10"/>
      <c r="D10" s="10" t="s">
        <v>14</v>
      </c>
      <c r="E10" s="12"/>
      <c r="F10" s="12"/>
      <c r="G10" s="10"/>
    </row>
    <row r="11" ht="21.0" customHeight="1">
      <c r="A11" s="8"/>
      <c r="B11" s="14"/>
      <c r="C11" s="10"/>
      <c r="D11" s="10" t="s">
        <v>15</v>
      </c>
      <c r="E11" s="82" t="s">
        <v>75</v>
      </c>
      <c r="F11" s="13">
        <v>100000.0</v>
      </c>
      <c r="G11" s="13"/>
    </row>
    <row r="12" ht="21.0" customHeight="1">
      <c r="A12" s="8"/>
      <c r="B12" s="14"/>
      <c r="C12" s="10"/>
      <c r="D12" s="10"/>
      <c r="E12" s="38" t="s">
        <v>58</v>
      </c>
      <c r="F12" s="13">
        <v>77000.0</v>
      </c>
      <c r="G12" s="13">
        <f>sum(F11:F12)</f>
        <v>177000</v>
      </c>
    </row>
    <row r="13" ht="21.0" customHeight="1">
      <c r="A13" s="8"/>
      <c r="B13" s="14"/>
      <c r="C13" s="10"/>
      <c r="D13" s="10" t="s">
        <v>16</v>
      </c>
      <c r="E13" s="38" t="s">
        <v>74</v>
      </c>
      <c r="F13" s="13">
        <v>208949.3</v>
      </c>
      <c r="G13" s="13">
        <v>208949.3</v>
      </c>
    </row>
    <row r="14" ht="21.0" customHeight="1">
      <c r="A14" s="8"/>
      <c r="B14" s="14"/>
      <c r="C14" s="10"/>
      <c r="D14" s="10" t="s">
        <v>17</v>
      </c>
      <c r="E14" s="38" t="s">
        <v>74</v>
      </c>
      <c r="F14" s="13">
        <v>208949.3</v>
      </c>
      <c r="G14" s="13">
        <v>208949.3</v>
      </c>
    </row>
    <row r="15" ht="21.0" customHeight="1">
      <c r="A15" s="8"/>
      <c r="B15" s="14"/>
      <c r="C15" s="10"/>
      <c r="D15" s="10" t="s">
        <v>18</v>
      </c>
      <c r="E15" s="38" t="s">
        <v>74</v>
      </c>
      <c r="F15" s="13">
        <v>210694.0</v>
      </c>
      <c r="G15" s="13">
        <v>210694.0</v>
      </c>
    </row>
    <row r="16" ht="21.0" customHeight="1">
      <c r="A16" s="8"/>
      <c r="B16" s="14"/>
      <c r="C16" s="10"/>
      <c r="D16" s="10" t="s">
        <v>19</v>
      </c>
      <c r="E16" s="38" t="s">
        <v>74</v>
      </c>
      <c r="F16" s="13">
        <v>210694.0</v>
      </c>
      <c r="G16" s="13">
        <v>210694.0</v>
      </c>
    </row>
    <row r="17" ht="19.5" customHeight="1">
      <c r="A17" s="8"/>
      <c r="B17" s="14"/>
      <c r="C17" s="10"/>
      <c r="D17" s="10" t="s">
        <v>20</v>
      </c>
      <c r="E17" s="10" t="s">
        <v>61</v>
      </c>
      <c r="F17" s="13">
        <v>287166.0</v>
      </c>
      <c r="G17" s="13"/>
    </row>
    <row r="18" ht="19.5" customHeight="1">
      <c r="A18" s="8"/>
      <c r="B18" s="14"/>
      <c r="C18" s="10"/>
      <c r="D18" s="10"/>
      <c r="E18" s="10" t="s">
        <v>76</v>
      </c>
      <c r="F18" s="13">
        <v>195694.0</v>
      </c>
      <c r="G18" s="10"/>
    </row>
    <row r="19" ht="19.5" customHeight="1">
      <c r="A19" s="8"/>
      <c r="B19" s="14"/>
      <c r="C19" s="10"/>
      <c r="D19" s="10"/>
      <c r="E19" s="10" t="s">
        <v>77</v>
      </c>
      <c r="F19" s="13">
        <v>300000.0</v>
      </c>
      <c r="G19" s="13">
        <f>sum(F17:F19)</f>
        <v>782860</v>
      </c>
    </row>
    <row r="20" ht="19.5" customHeight="1">
      <c r="A20" s="8"/>
      <c r="B20" s="14"/>
      <c r="C20" s="10"/>
      <c r="D20" s="10" t="s">
        <v>21</v>
      </c>
      <c r="E20" s="10" t="s">
        <v>78</v>
      </c>
      <c r="F20" s="13">
        <v>195694.0</v>
      </c>
      <c r="G20" s="13">
        <v>195694.0</v>
      </c>
    </row>
    <row r="21" ht="19.5" customHeight="1">
      <c r="A21" s="8"/>
      <c r="B21" s="14"/>
      <c r="C21" s="10"/>
      <c r="D21" s="10" t="s">
        <v>22</v>
      </c>
      <c r="E21" s="10"/>
      <c r="F21" s="10"/>
      <c r="G21" s="10"/>
    </row>
    <row r="22" ht="19.5" customHeight="1">
      <c r="A22" s="8"/>
      <c r="B22" s="14"/>
      <c r="C22" s="10"/>
      <c r="D22" s="10" t="s">
        <v>23</v>
      </c>
      <c r="E22" s="10" t="s">
        <v>64</v>
      </c>
      <c r="F22" s="13">
        <v>120000.0</v>
      </c>
      <c r="G22" s="10"/>
    </row>
    <row r="23" ht="19.5" customHeight="1">
      <c r="A23" s="8"/>
      <c r="B23" s="14"/>
      <c r="C23" s="10"/>
      <c r="D23" s="10"/>
      <c r="E23" s="10" t="s">
        <v>59</v>
      </c>
      <c r="F23" s="13">
        <v>500000.0</v>
      </c>
      <c r="G23" s="10"/>
    </row>
    <row r="24" ht="19.5" customHeight="1">
      <c r="A24" s="8"/>
      <c r="B24" s="14"/>
      <c r="C24" s="10"/>
      <c r="D24" s="10"/>
      <c r="E24" s="10" t="s">
        <v>64</v>
      </c>
      <c r="F24" s="13">
        <v>120000.0</v>
      </c>
      <c r="G24" s="10"/>
    </row>
    <row r="25" ht="19.5" customHeight="1">
      <c r="A25" s="8"/>
      <c r="B25" s="14"/>
      <c r="C25" s="10"/>
      <c r="D25" s="10"/>
      <c r="E25" s="10" t="s">
        <v>64</v>
      </c>
      <c r="F25" s="13">
        <v>200000.0</v>
      </c>
      <c r="G25" s="10"/>
    </row>
    <row r="26" ht="19.5" customHeight="1">
      <c r="A26" s="8"/>
      <c r="B26" s="14"/>
      <c r="C26" s="10"/>
      <c r="D26" s="10"/>
      <c r="E26" s="10" t="s">
        <v>78</v>
      </c>
      <c r="F26" s="13">
        <v>203194.0</v>
      </c>
      <c r="G26" s="13">
        <f>sum(F22:F26)</f>
        <v>1143194</v>
      </c>
    </row>
    <row r="27" ht="19.5" customHeight="1">
      <c r="A27" s="8"/>
      <c r="B27" s="9" t="s">
        <v>24</v>
      </c>
      <c r="C27" s="10"/>
      <c r="D27" s="10"/>
      <c r="E27" s="10"/>
      <c r="F27" s="10"/>
      <c r="G27" s="13">
        <f>sum(G5:G26)</f>
        <v>3894278.6</v>
      </c>
    </row>
    <row r="28" ht="19.5" customHeight="1">
      <c r="A28" s="8"/>
      <c r="B28" s="9"/>
      <c r="C28" s="10"/>
      <c r="D28" s="10"/>
      <c r="E28" s="10"/>
      <c r="F28" s="10"/>
      <c r="G28" s="10"/>
    </row>
    <row r="29" ht="19.5" customHeight="1">
      <c r="A29" s="8"/>
      <c r="B29" s="14"/>
      <c r="C29" s="10"/>
      <c r="D29" s="10"/>
      <c r="E29" s="10"/>
      <c r="F29" s="10"/>
      <c r="G29" s="10"/>
    </row>
    <row r="30" ht="19.5" customHeight="1">
      <c r="A30" s="8"/>
      <c r="B30" s="14"/>
      <c r="C30" s="38">
        <v>2021.0</v>
      </c>
      <c r="D30" s="37" t="s">
        <v>12</v>
      </c>
      <c r="E30" s="10" t="s">
        <v>59</v>
      </c>
      <c r="F30" s="35">
        <v>300000.0</v>
      </c>
      <c r="G30" s="10"/>
    </row>
    <row r="31" ht="19.5" customHeight="1">
      <c r="A31" s="8"/>
      <c r="B31" s="14"/>
      <c r="C31" s="38"/>
      <c r="D31" s="37"/>
      <c r="E31" s="10" t="s">
        <v>64</v>
      </c>
      <c r="F31" s="35">
        <v>284580.0</v>
      </c>
      <c r="G31" s="10"/>
    </row>
    <row r="32" ht="19.5" customHeight="1">
      <c r="A32" s="8"/>
      <c r="B32" s="14"/>
      <c r="C32" s="38"/>
      <c r="D32" s="37"/>
      <c r="E32" s="10" t="s">
        <v>78</v>
      </c>
      <c r="F32" s="35">
        <v>181920.65</v>
      </c>
      <c r="G32" s="13">
        <f>sum(F30:F32)</f>
        <v>766500.65</v>
      </c>
    </row>
    <row r="33" ht="19.5" customHeight="1">
      <c r="A33" s="8"/>
      <c r="B33" s="14"/>
      <c r="C33" s="54"/>
      <c r="D33" s="40" t="s">
        <v>13</v>
      </c>
      <c r="E33" s="10" t="s">
        <v>59</v>
      </c>
      <c r="F33" s="35">
        <v>100000.0</v>
      </c>
      <c r="G33" s="10"/>
    </row>
    <row r="34" ht="19.5" customHeight="1">
      <c r="A34" s="8"/>
      <c r="B34" s="14"/>
      <c r="C34" s="54"/>
      <c r="D34" s="40"/>
      <c r="E34" s="10" t="s">
        <v>78</v>
      </c>
      <c r="F34" s="35">
        <v>181920.65</v>
      </c>
      <c r="G34" s="13">
        <f>sum(F33:F34)</f>
        <v>281920.65</v>
      </c>
    </row>
    <row r="35" ht="19.5" customHeight="1">
      <c r="A35" s="8"/>
      <c r="B35" s="14"/>
      <c r="C35" s="74"/>
      <c r="D35" s="37" t="s">
        <v>14</v>
      </c>
      <c r="E35" s="10" t="s">
        <v>64</v>
      </c>
      <c r="F35" s="35">
        <v>722610.0</v>
      </c>
      <c r="G35" s="10"/>
    </row>
    <row r="36" ht="19.5" customHeight="1">
      <c r="A36" s="8"/>
      <c r="B36" s="14"/>
      <c r="C36" s="74"/>
      <c r="D36" s="37"/>
      <c r="E36" s="10" t="s">
        <v>59</v>
      </c>
      <c r="F36" s="35">
        <v>400000.0</v>
      </c>
      <c r="G36" s="10"/>
    </row>
    <row r="37" ht="19.5" customHeight="1">
      <c r="A37" s="8"/>
      <c r="B37" s="14"/>
      <c r="C37" s="74"/>
      <c r="D37" s="37"/>
      <c r="E37" s="10" t="s">
        <v>59</v>
      </c>
      <c r="F37" s="35">
        <v>170000.0</v>
      </c>
      <c r="G37" s="10"/>
    </row>
    <row r="38" ht="19.5" customHeight="1">
      <c r="A38" s="8"/>
      <c r="B38" s="14"/>
      <c r="C38" s="74"/>
      <c r="D38" s="37"/>
      <c r="E38" s="10" t="s">
        <v>64</v>
      </c>
      <c r="F38" s="35">
        <v>181920.65</v>
      </c>
      <c r="G38" s="13">
        <f>sum(F35:F38)</f>
        <v>1474530.65</v>
      </c>
    </row>
    <row r="39" ht="19.5" customHeight="1">
      <c r="A39" s="83"/>
      <c r="B39" s="84"/>
      <c r="C39" s="85"/>
      <c r="D39" s="86" t="s">
        <v>15</v>
      </c>
      <c r="E39" s="87" t="s">
        <v>79</v>
      </c>
      <c r="F39" s="88">
        <v>800000.0</v>
      </c>
      <c r="G39" s="89"/>
    </row>
    <row r="40" ht="19.5" customHeight="1">
      <c r="A40" s="8"/>
      <c r="B40" s="14"/>
      <c r="C40" s="54"/>
      <c r="D40" s="40"/>
      <c r="E40" s="10" t="s">
        <v>59</v>
      </c>
      <c r="F40" s="35">
        <v>150000.0</v>
      </c>
      <c r="G40" s="10"/>
    </row>
    <row r="41" ht="19.5" customHeight="1">
      <c r="A41" s="8"/>
      <c r="B41" s="14"/>
      <c r="C41" s="54"/>
      <c r="D41" s="40"/>
      <c r="E41" s="10" t="s">
        <v>78</v>
      </c>
      <c r="F41" s="35">
        <v>209920.65</v>
      </c>
      <c r="G41" s="10"/>
    </row>
    <row r="42" ht="19.5" customHeight="1">
      <c r="A42" s="8"/>
      <c r="B42" s="14"/>
      <c r="C42" s="54"/>
      <c r="D42" s="40"/>
      <c r="E42" s="10" t="s">
        <v>64</v>
      </c>
      <c r="F42" s="35">
        <v>120000.0</v>
      </c>
      <c r="G42" s="10"/>
    </row>
    <row r="43" ht="19.5" customHeight="1">
      <c r="A43" s="8"/>
      <c r="B43" s="14"/>
      <c r="C43" s="54"/>
      <c r="D43" s="40"/>
      <c r="E43" s="10" t="s">
        <v>64</v>
      </c>
      <c r="F43" s="35">
        <v>160000.0</v>
      </c>
      <c r="G43" s="10"/>
    </row>
    <row r="44" ht="19.5" customHeight="1">
      <c r="A44" s="8"/>
      <c r="B44" s="14"/>
      <c r="C44" s="54"/>
      <c r="D44" s="40"/>
      <c r="E44" s="10" t="s">
        <v>64</v>
      </c>
      <c r="F44" s="35">
        <v>80000.0</v>
      </c>
      <c r="G44" s="13">
        <f>sum(F39:F44)</f>
        <v>1519920.65</v>
      </c>
    </row>
    <row r="45" ht="19.5" customHeight="1">
      <c r="A45" s="8"/>
      <c r="B45" s="14"/>
      <c r="C45" s="74"/>
      <c r="D45" s="37" t="s">
        <v>16</v>
      </c>
      <c r="E45" s="38" t="s">
        <v>79</v>
      </c>
      <c r="F45" s="35">
        <v>325000.0</v>
      </c>
      <c r="G45" s="10"/>
    </row>
    <row r="46" ht="19.5" customHeight="1">
      <c r="A46" s="8"/>
      <c r="B46" s="14"/>
      <c r="C46" s="74"/>
      <c r="D46" s="37"/>
      <c r="E46" s="10" t="s">
        <v>59</v>
      </c>
      <c r="F46" s="35">
        <v>500000.0</v>
      </c>
      <c r="G46" s="10"/>
    </row>
    <row r="47" ht="19.5" customHeight="1">
      <c r="A47" s="8"/>
      <c r="B47" s="14"/>
      <c r="C47" s="74"/>
      <c r="D47" s="37"/>
      <c r="E47" s="10" t="s">
        <v>64</v>
      </c>
      <c r="F47" s="35">
        <v>75600.0</v>
      </c>
      <c r="G47" s="10"/>
    </row>
    <row r="48" ht="19.5" customHeight="1">
      <c r="A48" s="8"/>
      <c r="B48" s="14"/>
      <c r="C48" s="74"/>
      <c r="D48" s="37"/>
      <c r="E48" s="10" t="s">
        <v>78</v>
      </c>
      <c r="F48" s="35">
        <v>195920.65</v>
      </c>
      <c r="G48" s="13">
        <f>SUM(F45:F48)</f>
        <v>1096520.65</v>
      </c>
    </row>
    <row r="49" ht="19.5" customHeight="1">
      <c r="A49" s="8"/>
      <c r="B49" s="14"/>
      <c r="C49" s="54"/>
      <c r="D49" s="40" t="s">
        <v>17</v>
      </c>
      <c r="E49" s="10" t="s">
        <v>64</v>
      </c>
      <c r="F49" s="35">
        <v>120000.0</v>
      </c>
      <c r="G49" s="10"/>
    </row>
    <row r="50" ht="19.5" customHeight="1">
      <c r="A50" s="8"/>
      <c r="B50" s="14"/>
      <c r="C50" s="54"/>
      <c r="D50" s="40"/>
      <c r="E50" s="10" t="s">
        <v>64</v>
      </c>
      <c r="F50" s="35">
        <v>240000.0</v>
      </c>
      <c r="G50" s="10"/>
    </row>
    <row r="51" ht="19.5" customHeight="1">
      <c r="A51" s="8"/>
      <c r="B51" s="14"/>
      <c r="C51" s="54"/>
      <c r="D51" s="40"/>
      <c r="E51" s="10" t="s">
        <v>78</v>
      </c>
      <c r="F51" s="35">
        <v>195920.65</v>
      </c>
      <c r="G51" s="13">
        <f>sum(F49:F51)</f>
        <v>555920.65</v>
      </c>
    </row>
    <row r="52" ht="19.5" customHeight="1">
      <c r="A52" s="8"/>
      <c r="B52" s="14"/>
      <c r="C52" s="74"/>
      <c r="D52" s="37" t="s">
        <v>18</v>
      </c>
      <c r="E52" s="10" t="s">
        <v>64</v>
      </c>
      <c r="F52" s="35">
        <v>80000.0</v>
      </c>
      <c r="G52" s="10"/>
    </row>
    <row r="53" ht="19.5" customHeight="1">
      <c r="A53" s="8"/>
      <c r="B53" s="14"/>
      <c r="C53" s="74"/>
      <c r="D53" s="37"/>
      <c r="E53" s="10" t="s">
        <v>64</v>
      </c>
      <c r="F53" s="35">
        <v>80000.0</v>
      </c>
      <c r="G53" s="10"/>
    </row>
    <row r="54" ht="19.5" customHeight="1">
      <c r="A54" s="8"/>
      <c r="B54" s="14"/>
      <c r="C54" s="74"/>
      <c r="D54" s="37"/>
      <c r="E54" s="10" t="s">
        <v>78</v>
      </c>
      <c r="F54" s="35">
        <v>195920.65</v>
      </c>
      <c r="G54" s="13">
        <f>sum(F52:F54)</f>
        <v>355920.65</v>
      </c>
    </row>
    <row r="55" ht="19.5" customHeight="1">
      <c r="A55" s="8"/>
      <c r="B55" s="14"/>
      <c r="C55" s="54"/>
      <c r="D55" s="40" t="s">
        <v>19</v>
      </c>
      <c r="E55" s="82" t="s">
        <v>75</v>
      </c>
      <c r="F55" s="35">
        <v>300000.0</v>
      </c>
      <c r="G55" s="10"/>
    </row>
    <row r="56" ht="19.5" customHeight="1">
      <c r="A56" s="8"/>
      <c r="B56" s="14"/>
      <c r="C56" s="54"/>
      <c r="D56" s="40"/>
      <c r="E56" s="10" t="s">
        <v>78</v>
      </c>
      <c r="F56" s="35">
        <v>195920.65</v>
      </c>
      <c r="G56" s="13">
        <f>sum(F55:F56)</f>
        <v>495920.65</v>
      </c>
    </row>
    <row r="57" ht="19.5" customHeight="1">
      <c r="A57" s="8"/>
      <c r="B57" s="14"/>
      <c r="C57" s="74"/>
      <c r="D57" s="37" t="s">
        <v>20</v>
      </c>
      <c r="E57" s="10" t="s">
        <v>64</v>
      </c>
      <c r="F57" s="35">
        <v>40000.0</v>
      </c>
      <c r="G57" s="10"/>
    </row>
    <row r="58" ht="19.5" customHeight="1">
      <c r="A58" s="8"/>
      <c r="B58" s="14"/>
      <c r="C58" s="74"/>
      <c r="D58" s="37"/>
      <c r="E58" s="82" t="s">
        <v>75</v>
      </c>
      <c r="F58" s="35">
        <v>99420.0</v>
      </c>
      <c r="G58" s="10"/>
    </row>
    <row r="59" ht="19.5" customHeight="1">
      <c r="A59" s="8"/>
      <c r="B59" s="14"/>
      <c r="C59" s="74"/>
      <c r="D59" s="37"/>
      <c r="E59" s="10" t="s">
        <v>78</v>
      </c>
      <c r="F59" s="35">
        <v>195920.65</v>
      </c>
      <c r="G59" s="13">
        <f>sum(F57:F59)</f>
        <v>335340.65</v>
      </c>
    </row>
    <row r="60" ht="19.5" customHeight="1">
      <c r="A60" s="8"/>
      <c r="B60" s="14"/>
      <c r="C60" s="54"/>
      <c r="D60" s="40" t="s">
        <v>21</v>
      </c>
      <c r="E60" s="10" t="s">
        <v>64</v>
      </c>
      <c r="F60" s="35">
        <v>150000.0</v>
      </c>
      <c r="G60" s="10"/>
    </row>
    <row r="61" ht="19.5" customHeight="1">
      <c r="A61" s="8"/>
      <c r="B61" s="14"/>
      <c r="C61" s="54"/>
      <c r="D61" s="40"/>
      <c r="E61" s="10" t="s">
        <v>64</v>
      </c>
      <c r="F61" s="35">
        <v>54192.0</v>
      </c>
      <c r="G61" s="10"/>
    </row>
    <row r="62" ht="19.5" customHeight="1">
      <c r="A62" s="8"/>
      <c r="B62" s="14"/>
      <c r="C62" s="54"/>
      <c r="D62" s="40"/>
      <c r="E62" s="10" t="s">
        <v>64</v>
      </c>
      <c r="F62" s="35">
        <v>40000.0</v>
      </c>
      <c r="G62" s="10"/>
    </row>
    <row r="63" ht="19.5" customHeight="1">
      <c r="A63" s="8"/>
      <c r="B63" s="14"/>
      <c r="C63" s="54"/>
      <c r="D63" s="40"/>
      <c r="E63" s="10" t="s">
        <v>64</v>
      </c>
      <c r="F63" s="35">
        <v>80000.0</v>
      </c>
      <c r="G63" s="10"/>
    </row>
    <row r="64" ht="19.5" customHeight="1">
      <c r="A64" s="8"/>
      <c r="B64" s="14"/>
      <c r="C64" s="54"/>
      <c r="D64" s="40"/>
      <c r="E64" s="10" t="s">
        <v>78</v>
      </c>
      <c r="F64" s="35">
        <v>195920.65</v>
      </c>
      <c r="G64" s="10"/>
    </row>
    <row r="65" ht="19.5" customHeight="1">
      <c r="A65" s="8"/>
      <c r="B65" s="14"/>
      <c r="C65" s="54"/>
      <c r="D65" s="40"/>
      <c r="E65" s="10" t="s">
        <v>64</v>
      </c>
      <c r="F65" s="35">
        <v>191672.5</v>
      </c>
      <c r="G65" s="10"/>
    </row>
    <row r="66" ht="19.5" customHeight="1">
      <c r="A66" s="8"/>
      <c r="B66" s="14"/>
      <c r="C66" s="54"/>
      <c r="D66" s="40"/>
      <c r="E66" s="10" t="s">
        <v>64</v>
      </c>
      <c r="F66" s="35">
        <v>120000.0</v>
      </c>
      <c r="G66" s="13">
        <f>sum(F60:F66)</f>
        <v>831785.15</v>
      </c>
    </row>
    <row r="67" ht="19.5" customHeight="1">
      <c r="A67" s="8"/>
      <c r="B67" s="14"/>
      <c r="C67" s="74"/>
      <c r="D67" s="37" t="s">
        <v>22</v>
      </c>
      <c r="E67" s="10" t="s">
        <v>64</v>
      </c>
      <c r="F67" s="35">
        <v>952442.0</v>
      </c>
      <c r="G67" s="10"/>
    </row>
    <row r="68" ht="19.5" customHeight="1">
      <c r="A68" s="8"/>
      <c r="B68" s="14"/>
      <c r="C68" s="74"/>
      <c r="D68" s="37"/>
      <c r="E68" s="10" t="s">
        <v>64</v>
      </c>
      <c r="F68" s="35">
        <v>40000.0</v>
      </c>
      <c r="G68" s="10"/>
    </row>
    <row r="69" ht="19.5" customHeight="1">
      <c r="A69" s="8"/>
      <c r="B69" s="14"/>
      <c r="C69" s="74"/>
      <c r="D69" s="37"/>
      <c r="E69" s="10" t="s">
        <v>78</v>
      </c>
      <c r="F69" s="35">
        <v>195920.65</v>
      </c>
      <c r="G69" s="13">
        <f>sum(F67:F69)</f>
        <v>1188362.65</v>
      </c>
    </row>
    <row r="70" ht="19.5" customHeight="1">
      <c r="A70" s="8"/>
      <c r="B70" s="14"/>
      <c r="C70" s="54"/>
      <c r="D70" s="40" t="s">
        <v>23</v>
      </c>
      <c r="E70" s="10" t="s">
        <v>78</v>
      </c>
      <c r="F70" s="35">
        <v>202920.65</v>
      </c>
      <c r="G70" s="35">
        <v>202920.65</v>
      </c>
    </row>
    <row r="71" ht="19.5" customHeight="1">
      <c r="A71" s="8"/>
      <c r="B71" s="9" t="s">
        <v>24</v>
      </c>
      <c r="C71" s="54"/>
      <c r="D71" s="40"/>
      <c r="E71" s="77"/>
      <c r="F71" s="77"/>
      <c r="G71" s="10">
        <f>sum(G30:G70)</f>
        <v>9105564.3</v>
      </c>
    </row>
    <row r="72" ht="19.5" customHeight="1">
      <c r="A72" s="8"/>
      <c r="B72" s="9"/>
      <c r="C72" s="54"/>
      <c r="D72" s="40"/>
      <c r="E72" s="77"/>
      <c r="F72" s="77"/>
      <c r="G72" s="10"/>
    </row>
    <row r="73" ht="19.5" customHeight="1">
      <c r="A73" s="8"/>
      <c r="B73" s="9"/>
      <c r="C73" s="54"/>
      <c r="D73" s="40"/>
      <c r="E73" s="77"/>
      <c r="F73" s="77"/>
      <c r="G73" s="10"/>
    </row>
    <row r="74" ht="19.5" customHeight="1">
      <c r="A74" s="8"/>
      <c r="B74" s="14"/>
      <c r="C74" s="38">
        <v>2022.0</v>
      </c>
      <c r="D74" s="37" t="s">
        <v>12</v>
      </c>
      <c r="E74" s="10" t="s">
        <v>59</v>
      </c>
      <c r="F74" s="35">
        <v>400000.0</v>
      </c>
      <c r="G74" s="10"/>
    </row>
    <row r="75" ht="19.5" customHeight="1">
      <c r="A75" s="8"/>
      <c r="B75" s="14"/>
      <c r="C75" s="38"/>
      <c r="D75" s="37"/>
      <c r="E75" s="10" t="s">
        <v>78</v>
      </c>
      <c r="F75" s="57">
        <v>195920.65</v>
      </c>
      <c r="G75" s="13">
        <f>sum(F74:F75)</f>
        <v>595920.65</v>
      </c>
    </row>
    <row r="76" ht="19.5" customHeight="1">
      <c r="A76" s="8"/>
      <c r="B76" s="14"/>
      <c r="C76" s="54"/>
      <c r="D76" s="40" t="s">
        <v>13</v>
      </c>
      <c r="E76" s="10" t="s">
        <v>59</v>
      </c>
      <c r="F76" s="35">
        <v>150000.0</v>
      </c>
      <c r="G76" s="10"/>
    </row>
    <row r="77" ht="19.5" customHeight="1">
      <c r="A77" s="8"/>
      <c r="B77" s="14"/>
      <c r="C77" s="54"/>
      <c r="D77" s="40"/>
      <c r="E77" s="10" t="s">
        <v>78</v>
      </c>
      <c r="F77" s="57">
        <v>195920.65</v>
      </c>
      <c r="G77" s="13">
        <f>sum(F76:F77)</f>
        <v>345920.65</v>
      </c>
    </row>
    <row r="78" ht="19.5" customHeight="1">
      <c r="A78" s="8"/>
      <c r="B78" s="14"/>
      <c r="C78" s="74"/>
      <c r="D78" s="37" t="s">
        <v>14</v>
      </c>
      <c r="E78" s="10" t="s">
        <v>64</v>
      </c>
      <c r="F78" s="35">
        <v>390150.0</v>
      </c>
      <c r="G78" s="10"/>
    </row>
    <row r="79" ht="19.5" customHeight="1">
      <c r="A79" s="8"/>
      <c r="B79" s="14"/>
      <c r="C79" s="74"/>
      <c r="D79" s="37"/>
      <c r="E79" s="10" t="s">
        <v>64</v>
      </c>
      <c r="F79" s="35">
        <v>120000.0</v>
      </c>
      <c r="G79" s="10"/>
    </row>
    <row r="80" ht="19.5" customHeight="1">
      <c r="A80" s="8"/>
      <c r="B80" s="14"/>
      <c r="C80" s="74"/>
      <c r="D80" s="37"/>
      <c r="E80" s="10" t="s">
        <v>78</v>
      </c>
      <c r="F80" s="57">
        <v>195920.65</v>
      </c>
      <c r="G80" s="10"/>
    </row>
    <row r="81" ht="19.5" customHeight="1">
      <c r="A81" s="8"/>
      <c r="B81" s="14"/>
      <c r="C81" s="74"/>
      <c r="D81" s="37"/>
      <c r="E81" s="10" t="s">
        <v>64</v>
      </c>
      <c r="F81" s="35">
        <v>120000.0</v>
      </c>
      <c r="G81" s="13">
        <f>sum(F78:F81)</f>
        <v>826070.65</v>
      </c>
    </row>
    <row r="82" ht="19.5" customHeight="1">
      <c r="A82" s="8"/>
      <c r="B82" s="14"/>
      <c r="C82" s="54"/>
      <c r="D82" s="40" t="s">
        <v>15</v>
      </c>
      <c r="E82" s="10" t="s">
        <v>64</v>
      </c>
      <c r="F82" s="35">
        <v>120000.0</v>
      </c>
      <c r="G82" s="10"/>
    </row>
    <row r="83" ht="19.5" customHeight="1">
      <c r="A83" s="8"/>
      <c r="B83" s="14"/>
      <c r="C83" s="54"/>
      <c r="D83" s="40"/>
      <c r="E83" s="10" t="s">
        <v>64</v>
      </c>
      <c r="F83" s="35">
        <v>970425.0</v>
      </c>
      <c r="G83" s="10"/>
    </row>
    <row r="84" ht="19.5" customHeight="1">
      <c r="A84" s="8"/>
      <c r="B84" s="14"/>
      <c r="C84" s="54"/>
      <c r="D84" s="40"/>
      <c r="E84" s="10" t="s">
        <v>59</v>
      </c>
      <c r="F84" s="35">
        <v>200000.0</v>
      </c>
      <c r="G84" s="10"/>
    </row>
    <row r="85" ht="19.5" customHeight="1">
      <c r="A85" s="8"/>
      <c r="B85" s="14"/>
      <c r="C85" s="54"/>
      <c r="D85" s="40"/>
      <c r="E85" s="10" t="s">
        <v>78</v>
      </c>
      <c r="F85" s="57">
        <v>195920.65</v>
      </c>
      <c r="G85" s="13">
        <f>sum(F82:F85)</f>
        <v>1486345.65</v>
      </c>
    </row>
    <row r="86" ht="19.5" customHeight="1">
      <c r="A86" s="8"/>
      <c r="B86" s="14"/>
      <c r="C86" s="74"/>
      <c r="D86" s="37" t="s">
        <v>16</v>
      </c>
      <c r="E86" s="10" t="s">
        <v>78</v>
      </c>
      <c r="F86" s="57">
        <v>195920.65</v>
      </c>
      <c r="G86" s="57">
        <v>195920.65</v>
      </c>
    </row>
    <row r="87" ht="19.5" customHeight="1">
      <c r="A87" s="8"/>
      <c r="B87" s="14"/>
      <c r="C87" s="54"/>
      <c r="D87" s="40" t="s">
        <v>17</v>
      </c>
      <c r="E87" s="10" t="s">
        <v>64</v>
      </c>
      <c r="F87" s="35">
        <v>80000.0</v>
      </c>
      <c r="G87" s="10"/>
    </row>
    <row r="88" ht="19.5" customHeight="1">
      <c r="A88" s="8"/>
      <c r="B88" s="14"/>
      <c r="C88" s="54"/>
      <c r="D88" s="40"/>
      <c r="E88" s="10" t="s">
        <v>64</v>
      </c>
      <c r="F88" s="35">
        <v>721633.0</v>
      </c>
      <c r="G88" s="10"/>
    </row>
    <row r="89" ht="19.5" customHeight="1">
      <c r="A89" s="8"/>
      <c r="B89" s="14"/>
      <c r="C89" s="54"/>
      <c r="D89" s="40"/>
      <c r="E89" s="10" t="s">
        <v>78</v>
      </c>
      <c r="F89" s="57">
        <v>195920.65</v>
      </c>
      <c r="G89" s="10"/>
    </row>
    <row r="90" ht="19.5" customHeight="1">
      <c r="A90" s="8"/>
      <c r="B90" s="14"/>
      <c r="C90" s="54"/>
      <c r="D90" s="40"/>
      <c r="E90" s="10" t="s">
        <v>64</v>
      </c>
      <c r="F90" s="37">
        <v>32355.0</v>
      </c>
      <c r="G90" s="10"/>
    </row>
    <row r="91" ht="19.5" customHeight="1">
      <c r="A91" s="8"/>
      <c r="B91" s="14"/>
      <c r="C91" s="54"/>
      <c r="D91" s="40"/>
      <c r="E91" s="10" t="s">
        <v>64</v>
      </c>
      <c r="F91" s="37">
        <v>63002.0</v>
      </c>
      <c r="G91" s="13">
        <f>sum(F87:F91)</f>
        <v>1092910.65</v>
      </c>
    </row>
    <row r="92" ht="19.5" customHeight="1">
      <c r="A92" s="8"/>
      <c r="B92" s="14"/>
      <c r="C92" s="74"/>
      <c r="D92" s="37" t="s">
        <v>18</v>
      </c>
      <c r="E92" s="10" t="s">
        <v>64</v>
      </c>
      <c r="F92" s="37">
        <v>120000.0</v>
      </c>
      <c r="G92" s="10"/>
    </row>
    <row r="93" ht="19.5" customHeight="1">
      <c r="A93" s="8"/>
      <c r="B93" s="14"/>
      <c r="C93" s="74"/>
      <c r="D93" s="37"/>
      <c r="E93" s="10" t="s">
        <v>64</v>
      </c>
      <c r="F93" s="37">
        <v>120000.0</v>
      </c>
      <c r="G93" s="10"/>
    </row>
    <row r="94" ht="19.5" customHeight="1">
      <c r="A94" s="8"/>
      <c r="B94" s="14"/>
      <c r="C94" s="74"/>
      <c r="D94" s="37"/>
      <c r="E94" s="10" t="s">
        <v>64</v>
      </c>
      <c r="F94" s="37">
        <v>120000.0</v>
      </c>
      <c r="G94" s="10"/>
    </row>
    <row r="95" ht="19.5" customHeight="1">
      <c r="A95" s="8"/>
      <c r="B95" s="14"/>
      <c r="C95" s="74"/>
      <c r="D95" s="37"/>
      <c r="E95" s="10" t="s">
        <v>64</v>
      </c>
      <c r="F95" s="37">
        <v>140850.0</v>
      </c>
      <c r="G95" s="10"/>
    </row>
    <row r="96" ht="19.5" customHeight="1">
      <c r="A96" s="8"/>
      <c r="B96" s="14"/>
      <c r="C96" s="74"/>
      <c r="D96" s="37"/>
      <c r="E96" s="10" t="s">
        <v>78</v>
      </c>
      <c r="F96" s="37">
        <v>195920.65</v>
      </c>
      <c r="G96" s="10">
        <f>sum(F92:F96)</f>
        <v>696770.65</v>
      </c>
    </row>
    <row r="97" ht="19.5" customHeight="1">
      <c r="A97" s="8"/>
      <c r="B97" s="14"/>
      <c r="C97" s="54"/>
      <c r="D97" s="40" t="s">
        <v>19</v>
      </c>
      <c r="E97" s="10" t="s">
        <v>78</v>
      </c>
      <c r="F97" s="37">
        <v>195920.65</v>
      </c>
      <c r="G97" s="37">
        <v>195920.65</v>
      </c>
    </row>
    <row r="98" ht="19.5" customHeight="1">
      <c r="A98" s="8"/>
      <c r="B98" s="14"/>
      <c r="C98" s="74"/>
      <c r="D98" s="37" t="s">
        <v>20</v>
      </c>
      <c r="E98" s="38" t="s">
        <v>80</v>
      </c>
      <c r="F98" s="37">
        <v>52953.96</v>
      </c>
      <c r="G98" s="10"/>
    </row>
    <row r="99" ht="19.5" customHeight="1">
      <c r="A99" s="8"/>
      <c r="B99" s="14"/>
      <c r="C99" s="74"/>
      <c r="D99" s="37"/>
      <c r="E99" s="10" t="s">
        <v>59</v>
      </c>
      <c r="F99" s="37">
        <v>450000.0</v>
      </c>
      <c r="G99" s="10"/>
    </row>
    <row r="100" ht="19.5" customHeight="1">
      <c r="A100" s="8"/>
      <c r="B100" s="14"/>
      <c r="C100" s="74"/>
      <c r="D100" s="37"/>
      <c r="E100" s="10" t="s">
        <v>78</v>
      </c>
      <c r="F100" s="37">
        <v>195920.65</v>
      </c>
      <c r="G100" s="10">
        <f>sum(F98:F100)</f>
        <v>698874.61</v>
      </c>
    </row>
    <row r="101" ht="19.5" customHeight="1">
      <c r="A101" s="8"/>
      <c r="B101" s="14"/>
      <c r="C101" s="54"/>
      <c r="D101" s="40" t="s">
        <v>21</v>
      </c>
      <c r="E101" s="10" t="s">
        <v>64</v>
      </c>
      <c r="F101" s="37">
        <v>50000.0</v>
      </c>
      <c r="G101" s="10"/>
    </row>
    <row r="102" ht="19.5" customHeight="1">
      <c r="A102" s="8"/>
      <c r="B102" s="14"/>
      <c r="C102" s="54"/>
      <c r="D102" s="40"/>
      <c r="E102" s="10" t="s">
        <v>64</v>
      </c>
      <c r="F102" s="37">
        <v>50000.0</v>
      </c>
      <c r="G102" s="10"/>
    </row>
    <row r="103" ht="19.5" customHeight="1">
      <c r="A103" s="8"/>
      <c r="B103" s="14"/>
      <c r="C103" s="54"/>
      <c r="D103" s="40"/>
      <c r="E103" s="10" t="s">
        <v>64</v>
      </c>
      <c r="F103" s="37">
        <v>837369.0</v>
      </c>
      <c r="G103" s="10"/>
    </row>
    <row r="104" ht="19.5" customHeight="1">
      <c r="A104" s="8"/>
      <c r="B104" s="14"/>
      <c r="C104" s="54"/>
      <c r="D104" s="40"/>
      <c r="E104" s="10" t="s">
        <v>78</v>
      </c>
      <c r="F104" s="57">
        <v>195920.65</v>
      </c>
      <c r="G104" s="10">
        <f>sum(F101:F104)</f>
        <v>1133289.65</v>
      </c>
    </row>
    <row r="105" ht="19.5" customHeight="1">
      <c r="A105" s="8"/>
      <c r="B105" s="14"/>
      <c r="C105" s="74"/>
      <c r="D105" s="37" t="s">
        <v>22</v>
      </c>
      <c r="E105" s="10" t="s">
        <v>64</v>
      </c>
      <c r="F105" s="37">
        <v>397704.0</v>
      </c>
      <c r="G105" s="10"/>
    </row>
    <row r="106" ht="19.5" customHeight="1">
      <c r="A106" s="8"/>
      <c r="B106" s="14"/>
      <c r="C106" s="74"/>
      <c r="D106" s="37"/>
      <c r="E106" s="10" t="s">
        <v>64</v>
      </c>
      <c r="F106" s="37">
        <v>75600.0</v>
      </c>
      <c r="G106" s="10"/>
    </row>
    <row r="107" ht="19.5" customHeight="1">
      <c r="A107" s="8"/>
      <c r="B107" s="14"/>
      <c r="C107" s="74"/>
      <c r="D107" s="37"/>
      <c r="E107" s="10" t="s">
        <v>78</v>
      </c>
      <c r="F107" s="37">
        <v>195920.65</v>
      </c>
      <c r="G107" s="10">
        <f>sum(F105:F107)</f>
        <v>669224.65</v>
      </c>
    </row>
    <row r="108" ht="19.5" customHeight="1">
      <c r="A108" s="8"/>
      <c r="B108" s="14"/>
      <c r="C108" s="54"/>
      <c r="D108" s="40" t="s">
        <v>23</v>
      </c>
      <c r="E108" s="10" t="s">
        <v>59</v>
      </c>
      <c r="F108" s="37">
        <v>300000.0</v>
      </c>
      <c r="G108" s="10"/>
    </row>
    <row r="109" ht="19.5" customHeight="1">
      <c r="A109" s="8"/>
      <c r="B109" s="14"/>
      <c r="C109" s="54"/>
      <c r="D109" s="40"/>
      <c r="E109" s="10" t="s">
        <v>78</v>
      </c>
      <c r="F109" s="37">
        <v>202920.65</v>
      </c>
      <c r="G109" s="10"/>
    </row>
    <row r="110" ht="19.5" customHeight="1">
      <c r="A110" s="8"/>
      <c r="B110" s="14"/>
      <c r="C110" s="54"/>
      <c r="D110" s="40"/>
      <c r="E110" s="10" t="s">
        <v>64</v>
      </c>
      <c r="F110" s="37">
        <v>120000.0</v>
      </c>
      <c r="G110" s="10"/>
    </row>
    <row r="111" ht="19.5" customHeight="1">
      <c r="A111" s="8"/>
      <c r="B111" s="14"/>
      <c r="C111" s="54"/>
      <c r="D111" s="40"/>
      <c r="E111" s="10" t="s">
        <v>64</v>
      </c>
      <c r="F111" s="37">
        <v>160000.0</v>
      </c>
      <c r="G111" s="10"/>
    </row>
    <row r="112" ht="19.5" customHeight="1">
      <c r="A112" s="8"/>
      <c r="B112" s="14"/>
      <c r="C112" s="54"/>
      <c r="D112" s="40"/>
      <c r="E112" s="10" t="s">
        <v>64</v>
      </c>
      <c r="F112" s="37">
        <v>160000.0</v>
      </c>
      <c r="G112" s="10">
        <f>sum(F108:F112)</f>
        <v>942920.65</v>
      </c>
    </row>
    <row r="113" ht="19.5" customHeight="1">
      <c r="A113" s="8"/>
      <c r="B113" s="9" t="s">
        <v>24</v>
      </c>
      <c r="C113" s="54"/>
      <c r="D113" s="40"/>
      <c r="E113" s="77"/>
      <c r="F113" s="77"/>
      <c r="G113" s="10">
        <f>sum(G74:G112)</f>
        <v>8880089.76</v>
      </c>
    </row>
    <row r="114" ht="19.5" customHeight="1">
      <c r="A114" s="8"/>
      <c r="B114" s="9"/>
      <c r="C114" s="54"/>
      <c r="D114" s="40"/>
      <c r="E114" s="77"/>
      <c r="F114" s="77"/>
      <c r="G114" s="10"/>
    </row>
    <row r="115" ht="19.5" customHeight="1">
      <c r="A115" s="8"/>
      <c r="B115" s="9"/>
      <c r="C115" s="54"/>
      <c r="D115" s="40"/>
      <c r="E115" s="77"/>
      <c r="F115" s="77"/>
      <c r="G115" s="10"/>
    </row>
    <row r="116" ht="19.5" customHeight="1">
      <c r="A116" s="8"/>
      <c r="B116" s="14"/>
      <c r="C116" s="38">
        <v>2023.0</v>
      </c>
      <c r="D116" s="37" t="s">
        <v>12</v>
      </c>
      <c r="E116" s="38" t="s">
        <v>81</v>
      </c>
      <c r="F116" s="35">
        <v>140000.0</v>
      </c>
      <c r="G116" s="10"/>
    </row>
    <row r="117" ht="19.5" customHeight="1">
      <c r="A117" s="8"/>
      <c r="B117" s="14"/>
      <c r="C117" s="38"/>
      <c r="D117" s="37"/>
      <c r="E117" s="10" t="s">
        <v>64</v>
      </c>
      <c r="F117" s="35">
        <v>343910.0</v>
      </c>
      <c r="G117" s="10"/>
    </row>
    <row r="118" ht="19.5" customHeight="1">
      <c r="A118" s="8"/>
      <c r="B118" s="14"/>
      <c r="C118" s="38"/>
      <c r="D118" s="37"/>
      <c r="E118" s="10" t="s">
        <v>78</v>
      </c>
      <c r="F118" s="57">
        <v>195920.65</v>
      </c>
      <c r="G118" s="13">
        <f>sum(F116:F118)</f>
        <v>679830.65</v>
      </c>
    </row>
    <row r="119" ht="19.5" customHeight="1">
      <c r="A119" s="8"/>
      <c r="B119" s="14"/>
      <c r="C119" s="54"/>
      <c r="D119" s="40" t="s">
        <v>13</v>
      </c>
      <c r="E119" s="10" t="s">
        <v>82</v>
      </c>
      <c r="F119" s="50">
        <v>100000.0</v>
      </c>
      <c r="G119" s="10"/>
    </row>
    <row r="120" ht="19.5" customHeight="1">
      <c r="A120" s="8"/>
      <c r="B120" s="14"/>
      <c r="C120" s="54"/>
      <c r="D120" s="40"/>
      <c r="E120" s="10" t="s">
        <v>59</v>
      </c>
      <c r="F120" s="50">
        <v>120000.0</v>
      </c>
      <c r="G120" s="10"/>
    </row>
    <row r="121" ht="19.5" customHeight="1">
      <c r="A121" s="8"/>
      <c r="B121" s="14"/>
      <c r="C121" s="54"/>
      <c r="D121" s="40"/>
      <c r="E121" s="10" t="s">
        <v>78</v>
      </c>
      <c r="F121" s="50">
        <v>195920.65</v>
      </c>
      <c r="G121" s="13">
        <f>sum(F119:F121)</f>
        <v>415920.65</v>
      </c>
    </row>
    <row r="122" ht="19.5" customHeight="1">
      <c r="A122" s="8"/>
      <c r="B122" s="14"/>
      <c r="C122" s="74"/>
      <c r="D122" s="37" t="s">
        <v>14</v>
      </c>
      <c r="E122" s="82" t="s">
        <v>75</v>
      </c>
      <c r="F122" s="75">
        <v>300000.0</v>
      </c>
      <c r="G122" s="10"/>
    </row>
    <row r="123" ht="19.5" customHeight="1">
      <c r="A123" s="8"/>
      <c r="B123" s="14"/>
      <c r="C123" s="74"/>
      <c r="D123" s="37"/>
      <c r="E123" s="10" t="s">
        <v>78</v>
      </c>
      <c r="F123" s="50">
        <v>195920.65</v>
      </c>
      <c r="G123" s="13">
        <f>sum(F122:F123)</f>
        <v>495920.65</v>
      </c>
    </row>
    <row r="124" ht="19.5" customHeight="1">
      <c r="A124" s="8"/>
      <c r="B124" s="14"/>
      <c r="C124" s="54"/>
      <c r="D124" s="40" t="s">
        <v>15</v>
      </c>
      <c r="E124" s="10" t="s">
        <v>59</v>
      </c>
      <c r="F124" s="50">
        <v>130000.0</v>
      </c>
      <c r="G124" s="10"/>
    </row>
    <row r="125" ht="19.5" customHeight="1">
      <c r="A125" s="8"/>
      <c r="B125" s="14"/>
      <c r="C125" s="54"/>
      <c r="D125" s="40"/>
      <c r="E125" s="10" t="s">
        <v>59</v>
      </c>
      <c r="F125" s="50">
        <v>160000.0</v>
      </c>
      <c r="G125" s="10"/>
    </row>
    <row r="126" ht="19.5" customHeight="1">
      <c r="A126" s="8"/>
      <c r="B126" s="14"/>
      <c r="C126" s="54"/>
      <c r="D126" s="40"/>
      <c r="E126" s="10" t="s">
        <v>59</v>
      </c>
      <c r="F126" s="50">
        <v>409486.0</v>
      </c>
      <c r="G126" s="10"/>
    </row>
    <row r="127" ht="19.5" customHeight="1">
      <c r="A127" s="8"/>
      <c r="B127" s="14"/>
      <c r="C127" s="54"/>
      <c r="D127" s="40"/>
      <c r="E127" s="10" t="s">
        <v>59</v>
      </c>
      <c r="F127" s="50">
        <v>400000.0</v>
      </c>
      <c r="G127" s="10"/>
    </row>
    <row r="128" ht="19.5" customHeight="1">
      <c r="A128" s="8"/>
      <c r="B128" s="14"/>
      <c r="C128" s="54"/>
      <c r="D128" s="40"/>
      <c r="E128" s="38" t="s">
        <v>83</v>
      </c>
      <c r="F128" s="50">
        <v>195920.0</v>
      </c>
      <c r="G128" s="10"/>
    </row>
    <row r="129" ht="19.5" customHeight="1">
      <c r="A129" s="8"/>
      <c r="B129" s="14"/>
      <c r="C129" s="54"/>
      <c r="D129" s="40"/>
      <c r="E129" s="38" t="s">
        <v>84</v>
      </c>
      <c r="F129" s="50">
        <v>1145176.0</v>
      </c>
      <c r="G129" s="13">
        <f>sum(F124:F129)</f>
        <v>2440582</v>
      </c>
    </row>
    <row r="130" ht="19.5" customHeight="1">
      <c r="A130" s="8"/>
      <c r="B130" s="14"/>
      <c r="C130" s="74"/>
      <c r="D130" s="37" t="s">
        <v>16</v>
      </c>
      <c r="E130" s="10" t="s">
        <v>78</v>
      </c>
      <c r="F130" s="50">
        <v>195920.65</v>
      </c>
      <c r="G130" s="10"/>
    </row>
    <row r="131" ht="19.5" customHeight="1">
      <c r="A131" s="8"/>
      <c r="B131" s="14"/>
      <c r="C131" s="74"/>
      <c r="D131" s="37"/>
      <c r="E131" s="10" t="s">
        <v>59</v>
      </c>
      <c r="F131" s="50">
        <v>100000.0</v>
      </c>
      <c r="G131" s="10"/>
    </row>
    <row r="132" ht="19.5" customHeight="1">
      <c r="A132" s="8"/>
      <c r="B132" s="14"/>
      <c r="C132" s="74"/>
      <c r="D132" s="37"/>
      <c r="E132" s="82" t="s">
        <v>75</v>
      </c>
      <c r="F132" s="50">
        <v>100000.0</v>
      </c>
      <c r="G132" s="13">
        <f>sum(F130:F132)</f>
        <v>395920.65</v>
      </c>
    </row>
    <row r="133" ht="19.5" customHeight="1">
      <c r="A133" s="8"/>
      <c r="B133" s="14"/>
      <c r="C133" s="54"/>
      <c r="D133" s="40" t="s">
        <v>17</v>
      </c>
      <c r="E133" s="37"/>
      <c r="F133" s="50"/>
      <c r="G133" s="10"/>
    </row>
    <row r="134" ht="19.5" customHeight="1">
      <c r="A134" s="8"/>
      <c r="B134" s="14"/>
      <c r="C134" s="74"/>
      <c r="D134" s="37" t="s">
        <v>18</v>
      </c>
      <c r="E134" s="37"/>
      <c r="F134" s="50"/>
      <c r="G134" s="10"/>
    </row>
    <row r="135" ht="19.5" customHeight="1">
      <c r="A135" s="8"/>
      <c r="B135" s="14"/>
      <c r="C135" s="54"/>
      <c r="D135" s="40" t="s">
        <v>19</v>
      </c>
      <c r="E135" s="37"/>
      <c r="F135" s="50"/>
      <c r="G135" s="10"/>
    </row>
    <row r="136" ht="19.5" customHeight="1">
      <c r="A136" s="8"/>
      <c r="B136" s="14"/>
      <c r="C136" s="74"/>
      <c r="D136" s="37" t="s">
        <v>20</v>
      </c>
      <c r="E136" s="37"/>
      <c r="F136" s="50"/>
      <c r="G136" s="10"/>
    </row>
    <row r="137" ht="19.5" customHeight="1">
      <c r="A137" s="8"/>
      <c r="B137" s="14"/>
      <c r="C137" s="54"/>
      <c r="D137" s="40" t="s">
        <v>21</v>
      </c>
      <c r="E137" s="82" t="s">
        <v>75</v>
      </c>
      <c r="F137" s="50">
        <v>300000.0</v>
      </c>
      <c r="G137" s="10"/>
    </row>
    <row r="138" ht="19.5" customHeight="1">
      <c r="A138" s="8"/>
      <c r="B138" s="14"/>
      <c r="C138" s="54"/>
      <c r="D138" s="40"/>
      <c r="E138" s="82" t="s">
        <v>75</v>
      </c>
      <c r="F138" s="50">
        <v>200000.0</v>
      </c>
      <c r="G138" s="10">
        <v>500000.0</v>
      </c>
    </row>
    <row r="139" ht="19.5" customHeight="1">
      <c r="A139" s="8"/>
      <c r="B139" s="14"/>
      <c r="C139" s="74"/>
      <c r="D139" s="37" t="s">
        <v>22</v>
      </c>
      <c r="E139" s="37"/>
      <c r="F139" s="50"/>
      <c r="G139" s="10"/>
    </row>
    <row r="140" ht="19.5" customHeight="1">
      <c r="A140" s="8"/>
      <c r="B140" s="14"/>
      <c r="C140" s="54"/>
      <c r="D140" s="40" t="s">
        <v>23</v>
      </c>
      <c r="E140" s="37"/>
      <c r="F140" s="50"/>
      <c r="G140" s="10"/>
    </row>
    <row r="141" ht="19.5" customHeight="1">
      <c r="A141" s="8"/>
      <c r="B141" s="9" t="s">
        <v>24</v>
      </c>
      <c r="C141" s="54"/>
      <c r="D141" s="40"/>
      <c r="E141" s="77"/>
      <c r="F141" s="77"/>
      <c r="G141" s="10">
        <f>sum(G116:G140)</f>
        <v>4928174.6</v>
      </c>
    </row>
    <row r="142" ht="19.5" customHeight="1">
      <c r="A142" s="8"/>
      <c r="B142" s="9"/>
      <c r="C142" s="54"/>
      <c r="D142" s="40"/>
      <c r="E142" s="77"/>
      <c r="F142" s="77"/>
      <c r="G142" s="10"/>
    </row>
    <row r="143" ht="19.5" customHeight="1">
      <c r="A143" s="8"/>
      <c r="B143" s="9"/>
      <c r="C143" s="54"/>
      <c r="D143" s="40"/>
      <c r="E143" s="77"/>
      <c r="F143" s="77"/>
      <c r="G143" s="10"/>
    </row>
    <row r="144" ht="19.5" customHeight="1">
      <c r="A144" s="8"/>
      <c r="B144" s="14"/>
      <c r="C144" s="38">
        <v>2024.0</v>
      </c>
      <c r="D144" s="37" t="s">
        <v>12</v>
      </c>
      <c r="E144" s="82" t="s">
        <v>75</v>
      </c>
      <c r="F144" s="35">
        <v>200000.0</v>
      </c>
      <c r="G144" s="10"/>
    </row>
    <row r="145" ht="19.5" customHeight="1">
      <c r="A145" s="8"/>
      <c r="B145" s="14"/>
      <c r="C145" s="54"/>
      <c r="D145" s="40"/>
      <c r="E145" s="38" t="s">
        <v>83</v>
      </c>
      <c r="F145" s="35">
        <v>198829.95</v>
      </c>
      <c r="G145" s="10"/>
    </row>
    <row r="146" ht="19.5" customHeight="1">
      <c r="A146" s="8"/>
      <c r="B146" s="14"/>
      <c r="C146" s="54"/>
      <c r="D146" s="40"/>
      <c r="E146" s="41" t="s">
        <v>85</v>
      </c>
      <c r="F146" s="90">
        <v>116550.0</v>
      </c>
      <c r="G146" s="10"/>
    </row>
    <row r="147" ht="19.5" customHeight="1">
      <c r="A147" s="8"/>
      <c r="B147" s="14"/>
      <c r="C147" s="54"/>
      <c r="D147" s="40"/>
      <c r="E147" s="82" t="s">
        <v>75</v>
      </c>
      <c r="F147" s="35">
        <v>200000.0</v>
      </c>
      <c r="G147" s="13">
        <f>sum(F144:F147)</f>
        <v>715379.95</v>
      </c>
    </row>
    <row r="148" ht="19.5" customHeight="1">
      <c r="A148" s="8"/>
      <c r="B148" s="14"/>
      <c r="C148" s="54"/>
      <c r="D148" s="40" t="s">
        <v>13</v>
      </c>
      <c r="E148" s="82" t="s">
        <v>75</v>
      </c>
      <c r="F148" s="35">
        <v>300000.0</v>
      </c>
      <c r="G148" s="10"/>
    </row>
    <row r="149" ht="19.5" customHeight="1">
      <c r="A149" s="8"/>
      <c r="B149" s="14"/>
      <c r="C149" s="54"/>
      <c r="D149" s="40"/>
      <c r="E149" s="82" t="s">
        <v>75</v>
      </c>
      <c r="F149" s="35">
        <v>110000.0</v>
      </c>
      <c r="G149" s="10"/>
    </row>
    <row r="150" ht="19.5" customHeight="1">
      <c r="A150" s="8"/>
      <c r="B150" s="14"/>
      <c r="C150" s="54"/>
      <c r="D150" s="40"/>
      <c r="E150" s="38" t="s">
        <v>83</v>
      </c>
      <c r="F150" s="35">
        <v>198829.95</v>
      </c>
      <c r="G150" s="13">
        <f>sum(F148:F150)</f>
        <v>608829.95</v>
      </c>
    </row>
    <row r="151" ht="19.5" customHeight="1">
      <c r="A151" s="8"/>
      <c r="B151" s="14"/>
      <c r="C151" s="74"/>
      <c r="D151" s="37" t="s">
        <v>14</v>
      </c>
      <c r="E151" s="38" t="s">
        <v>86</v>
      </c>
      <c r="F151" s="75">
        <v>100800.0</v>
      </c>
      <c r="G151" s="10"/>
    </row>
    <row r="152" ht="19.5" customHeight="1">
      <c r="A152" s="8"/>
      <c r="B152" s="14"/>
      <c r="C152" s="74"/>
      <c r="D152" s="37"/>
      <c r="E152" s="82" t="s">
        <v>75</v>
      </c>
      <c r="F152" s="75">
        <v>150000.0</v>
      </c>
      <c r="G152" s="10"/>
    </row>
    <row r="153" ht="19.5" customHeight="1">
      <c r="A153" s="8"/>
      <c r="B153" s="14"/>
      <c r="C153" s="74"/>
      <c r="D153" s="37"/>
      <c r="E153" s="38" t="s">
        <v>83</v>
      </c>
      <c r="F153" s="35">
        <v>198829.95</v>
      </c>
      <c r="G153" s="13">
        <f>sum(F151:F153)</f>
        <v>449629.95</v>
      </c>
    </row>
    <row r="154" ht="19.5" customHeight="1">
      <c r="A154" s="8"/>
      <c r="B154" s="14"/>
      <c r="C154" s="54"/>
      <c r="D154" s="40" t="s">
        <v>15</v>
      </c>
      <c r="E154" s="38" t="s">
        <v>86</v>
      </c>
      <c r="F154" s="50">
        <v>117600.0</v>
      </c>
      <c r="G154" s="10"/>
    </row>
    <row r="155" ht="19.5" customHeight="1">
      <c r="A155" s="8"/>
      <c r="B155" s="14"/>
      <c r="C155" s="54"/>
      <c r="D155" s="40"/>
      <c r="E155" s="38" t="s">
        <v>83</v>
      </c>
      <c r="F155" s="35">
        <v>198829.95</v>
      </c>
      <c r="G155" s="13">
        <f>sum(F154:F155)</f>
        <v>316429.95</v>
      </c>
    </row>
    <row r="156" ht="19.5" customHeight="1">
      <c r="A156" s="8"/>
      <c r="B156" s="14"/>
      <c r="C156" s="74"/>
      <c r="D156" s="37" t="s">
        <v>16</v>
      </c>
      <c r="E156" s="38" t="s">
        <v>86</v>
      </c>
      <c r="F156" s="35">
        <v>168000.0</v>
      </c>
      <c r="G156" s="10"/>
    </row>
    <row r="157" ht="19.5" customHeight="1">
      <c r="A157" s="8"/>
      <c r="B157" s="14"/>
      <c r="C157" s="74"/>
      <c r="D157" s="37"/>
      <c r="E157" s="82" t="s">
        <v>75</v>
      </c>
      <c r="F157" s="35">
        <v>400000.0</v>
      </c>
      <c r="G157" s="13">
        <f>sum(F156:F157)</f>
        <v>568000</v>
      </c>
    </row>
    <row r="158" ht="19.5" customHeight="1">
      <c r="A158" s="8"/>
      <c r="B158" s="14"/>
      <c r="C158" s="54"/>
      <c r="D158" s="40" t="s">
        <v>17</v>
      </c>
      <c r="E158" s="82" t="s">
        <v>75</v>
      </c>
      <c r="F158" s="80">
        <v>150000.0</v>
      </c>
      <c r="G158" s="10"/>
    </row>
    <row r="159" ht="19.5" customHeight="1">
      <c r="A159" s="8"/>
      <c r="B159" s="14"/>
      <c r="C159" s="54"/>
      <c r="D159" s="40"/>
      <c r="E159" s="38" t="s">
        <v>86</v>
      </c>
      <c r="F159" s="80">
        <v>64000.0</v>
      </c>
      <c r="G159" s="10"/>
    </row>
    <row r="160" ht="19.5" customHeight="1">
      <c r="A160" s="8"/>
      <c r="B160" s="14"/>
      <c r="C160" s="54"/>
      <c r="D160" s="40"/>
      <c r="E160" s="82" t="s">
        <v>75</v>
      </c>
      <c r="F160" s="80">
        <v>150050.0</v>
      </c>
      <c r="G160" s="10"/>
    </row>
    <row r="161" ht="19.5" customHeight="1">
      <c r="A161" s="8"/>
      <c r="B161" s="14"/>
      <c r="C161" s="54"/>
      <c r="D161" s="40"/>
      <c r="E161" s="38" t="s">
        <v>83</v>
      </c>
      <c r="F161" s="35">
        <v>198829.95</v>
      </c>
      <c r="G161" s="13">
        <f>sum(F158:F161)</f>
        <v>562879.95</v>
      </c>
    </row>
    <row r="162" ht="19.5" customHeight="1">
      <c r="A162" s="8"/>
      <c r="B162" s="14"/>
      <c r="C162" s="74"/>
      <c r="D162" s="37" t="s">
        <v>18</v>
      </c>
      <c r="E162" s="38" t="s">
        <v>83</v>
      </c>
      <c r="F162" s="91">
        <v>208977.85</v>
      </c>
      <c r="G162" s="91">
        <v>208977.85</v>
      </c>
    </row>
    <row r="163" ht="19.5" customHeight="1">
      <c r="A163" s="8"/>
      <c r="B163" s="14"/>
      <c r="C163" s="54"/>
      <c r="D163" s="40" t="s">
        <v>19</v>
      </c>
      <c r="E163" s="38" t="s">
        <v>83</v>
      </c>
      <c r="F163" s="91">
        <v>208977.85</v>
      </c>
      <c r="G163" s="91">
        <v>208977.85</v>
      </c>
    </row>
    <row r="164" ht="19.5" customHeight="1">
      <c r="A164" s="8"/>
      <c r="B164" s="14"/>
      <c r="C164" s="74"/>
      <c r="D164" s="37" t="s">
        <v>20</v>
      </c>
      <c r="E164" s="82" t="s">
        <v>75</v>
      </c>
      <c r="F164" s="79">
        <v>300000.0</v>
      </c>
      <c r="G164" s="10"/>
    </row>
    <row r="165" ht="19.5" customHeight="1">
      <c r="A165" s="8"/>
      <c r="B165" s="14"/>
      <c r="C165" s="74"/>
      <c r="D165" s="37"/>
      <c r="E165" s="82" t="s">
        <v>75</v>
      </c>
      <c r="F165" s="79">
        <v>300000.0</v>
      </c>
      <c r="G165" s="10"/>
    </row>
    <row r="166" ht="19.5" customHeight="1">
      <c r="A166" s="8"/>
      <c r="B166" s="14"/>
      <c r="C166" s="74"/>
      <c r="D166" s="37"/>
      <c r="E166" s="76" t="s">
        <v>87</v>
      </c>
      <c r="F166" s="79">
        <v>94000.0</v>
      </c>
      <c r="G166" s="10"/>
    </row>
    <row r="167" ht="19.5" customHeight="1">
      <c r="A167" s="8"/>
      <c r="B167" s="14"/>
      <c r="C167" s="54"/>
      <c r="D167" s="40"/>
      <c r="E167" s="82" t="s">
        <v>75</v>
      </c>
      <c r="F167" s="80">
        <v>140000.0</v>
      </c>
      <c r="G167" s="10"/>
    </row>
    <row r="168" ht="19.5" customHeight="1">
      <c r="A168" s="8"/>
      <c r="B168" s="14"/>
      <c r="C168" s="54"/>
      <c r="D168" s="40"/>
      <c r="E168" s="38" t="s">
        <v>83</v>
      </c>
      <c r="F168" s="80">
        <v>214424.0</v>
      </c>
      <c r="G168" s="13">
        <f>sum(F164:F168)</f>
        <v>1048424</v>
      </c>
    </row>
    <row r="169" ht="19.5" customHeight="1">
      <c r="A169" s="8"/>
      <c r="B169" s="14"/>
      <c r="C169" s="54"/>
      <c r="D169" s="40" t="s">
        <v>21</v>
      </c>
      <c r="E169" s="82" t="s">
        <v>75</v>
      </c>
      <c r="F169" s="80">
        <v>350000.0</v>
      </c>
      <c r="G169" s="10"/>
    </row>
    <row r="170" ht="19.5" customHeight="1">
      <c r="A170" s="8"/>
      <c r="B170" s="14"/>
      <c r="C170" s="54"/>
      <c r="D170" s="40"/>
      <c r="E170" s="82" t="s">
        <v>75</v>
      </c>
      <c r="F170" s="80">
        <v>400000.0</v>
      </c>
      <c r="G170" s="10"/>
    </row>
    <row r="171" ht="19.5" customHeight="1">
      <c r="A171" s="8"/>
      <c r="B171" s="14"/>
      <c r="C171" s="54"/>
      <c r="D171" s="40"/>
      <c r="E171" s="38" t="s">
        <v>83</v>
      </c>
      <c r="F171" s="80">
        <v>204056.0</v>
      </c>
      <c r="G171" s="13">
        <f>sum(F169:F171)</f>
        <v>954056</v>
      </c>
    </row>
    <row r="172" ht="19.5" customHeight="1">
      <c r="A172" s="8"/>
      <c r="B172" s="14"/>
      <c r="C172" s="74"/>
      <c r="D172" s="37" t="s">
        <v>22</v>
      </c>
      <c r="E172" s="82" t="s">
        <v>75</v>
      </c>
      <c r="F172" s="79">
        <v>150000.0</v>
      </c>
      <c r="G172" s="10"/>
    </row>
    <row r="173" ht="19.5" customHeight="1">
      <c r="A173" s="8"/>
      <c r="B173" s="14"/>
      <c r="C173" s="74"/>
      <c r="D173" s="37"/>
      <c r="E173" s="38" t="s">
        <v>83</v>
      </c>
      <c r="F173" s="79">
        <v>204056.0</v>
      </c>
      <c r="G173" s="13">
        <f>sum(F172:F173)</f>
        <v>354056</v>
      </c>
    </row>
    <row r="174" ht="19.5" customHeight="1">
      <c r="A174" s="8"/>
      <c r="B174" s="14"/>
      <c r="C174" s="54"/>
      <c r="D174" s="40" t="s">
        <v>23</v>
      </c>
      <c r="E174" s="82" t="s">
        <v>75</v>
      </c>
      <c r="F174" s="80">
        <v>250000.0</v>
      </c>
      <c r="G174" s="10"/>
    </row>
    <row r="175" ht="19.5" customHeight="1">
      <c r="A175" s="8"/>
      <c r="B175" s="14"/>
      <c r="C175" s="54"/>
      <c r="D175" s="40"/>
      <c r="E175" s="38" t="s">
        <v>86</v>
      </c>
      <c r="F175" s="90">
        <v>58117.45</v>
      </c>
      <c r="G175" s="10"/>
    </row>
    <row r="176" ht="19.5" customHeight="1">
      <c r="A176" s="8"/>
      <c r="B176" s="14"/>
      <c r="C176" s="54"/>
      <c r="D176" s="40"/>
      <c r="E176" s="82" t="s">
        <v>75</v>
      </c>
      <c r="F176" s="90">
        <v>150000.0</v>
      </c>
      <c r="G176" s="10"/>
    </row>
    <row r="177" ht="19.5" customHeight="1">
      <c r="A177" s="8"/>
      <c r="B177" s="14"/>
      <c r="C177" s="54"/>
      <c r="D177" s="40"/>
      <c r="E177" s="64" t="s">
        <v>85</v>
      </c>
      <c r="F177" s="90">
        <v>122377.5</v>
      </c>
      <c r="G177" s="10"/>
    </row>
    <row r="178" ht="19.5" customHeight="1">
      <c r="A178" s="8"/>
      <c r="B178" s="14"/>
      <c r="C178" s="54"/>
      <c r="D178" s="40"/>
      <c r="E178" s="82" t="s">
        <v>75</v>
      </c>
      <c r="F178" s="90">
        <v>200000.0</v>
      </c>
      <c r="G178" s="13">
        <f>sum(F174:F178)</f>
        <v>780494.95</v>
      </c>
    </row>
    <row r="179" ht="19.5" customHeight="1">
      <c r="A179" s="8"/>
      <c r="B179" s="9" t="s">
        <v>24</v>
      </c>
      <c r="C179" s="54"/>
      <c r="D179" s="40"/>
      <c r="E179" s="77"/>
      <c r="F179" s="77"/>
      <c r="G179" s="10">
        <f>SUM(G144:G178)</f>
        <v>6776136.4</v>
      </c>
    </row>
    <row r="180" ht="19.5" customHeight="1">
      <c r="A180" s="8"/>
      <c r="B180" s="9"/>
      <c r="C180" s="54"/>
      <c r="D180" s="40"/>
      <c r="E180" s="77"/>
      <c r="F180" s="77"/>
      <c r="G180" s="10"/>
    </row>
    <row r="181" ht="19.5" customHeight="1">
      <c r="A181" s="8"/>
      <c r="B181" s="9"/>
      <c r="C181" s="54"/>
      <c r="D181" s="40"/>
      <c r="E181" s="77"/>
      <c r="F181" s="77"/>
      <c r="G181" s="10"/>
    </row>
    <row r="182" ht="19.5" customHeight="1">
      <c r="A182" s="8"/>
      <c r="B182" s="14"/>
      <c r="C182" s="38">
        <v>2025.0</v>
      </c>
      <c r="D182" s="37" t="s">
        <v>12</v>
      </c>
      <c r="E182" s="38"/>
      <c r="F182" s="38"/>
      <c r="G182" s="10"/>
    </row>
    <row r="183" ht="19.5" customHeight="1">
      <c r="A183" s="8"/>
      <c r="B183" s="14"/>
      <c r="C183" s="54"/>
      <c r="D183" s="40" t="s">
        <v>13</v>
      </c>
      <c r="E183" s="40"/>
      <c r="F183" s="40"/>
      <c r="G183" s="10"/>
    </row>
    <row r="184" ht="19.5" customHeight="1">
      <c r="A184" s="8"/>
      <c r="B184" s="14"/>
      <c r="C184" s="74"/>
      <c r="D184" s="37" t="s">
        <v>14</v>
      </c>
      <c r="E184" s="92"/>
      <c r="F184" s="92"/>
      <c r="G184" s="10"/>
    </row>
    <row r="185" ht="19.5" customHeight="1">
      <c r="A185" s="8"/>
      <c r="B185" s="14"/>
      <c r="C185" s="54"/>
      <c r="D185" s="40" t="s">
        <v>15</v>
      </c>
      <c r="E185" s="51"/>
      <c r="F185" s="51"/>
      <c r="G185" s="10"/>
    </row>
    <row r="186" ht="19.5" customHeight="1">
      <c r="A186" s="8"/>
      <c r="B186" s="14"/>
      <c r="C186" s="74"/>
      <c r="D186" s="37" t="s">
        <v>16</v>
      </c>
      <c r="E186" s="37"/>
      <c r="F186" s="37"/>
      <c r="G186" s="10"/>
    </row>
    <row r="187" ht="19.5" customHeight="1">
      <c r="A187" s="8"/>
      <c r="B187" s="14"/>
      <c r="C187" s="54"/>
      <c r="D187" s="40" t="s">
        <v>17</v>
      </c>
      <c r="E187" s="77"/>
      <c r="F187" s="77"/>
      <c r="G187" s="10"/>
    </row>
    <row r="188" ht="19.5" customHeight="1">
      <c r="A188" s="8"/>
      <c r="B188" s="14"/>
      <c r="C188" s="74"/>
      <c r="D188" s="37" t="s">
        <v>18</v>
      </c>
      <c r="E188" s="81"/>
      <c r="F188" s="81"/>
      <c r="G188" s="10"/>
    </row>
    <row r="189" ht="19.5" customHeight="1">
      <c r="A189" s="8"/>
      <c r="B189" s="14"/>
      <c r="C189" s="54"/>
      <c r="D189" s="40" t="s">
        <v>19</v>
      </c>
      <c r="E189" s="77"/>
      <c r="F189" s="77"/>
      <c r="G189" s="10"/>
    </row>
    <row r="190" ht="19.5" customHeight="1">
      <c r="A190" s="8"/>
      <c r="B190" s="14"/>
      <c r="C190" s="74"/>
      <c r="D190" s="37" t="s">
        <v>20</v>
      </c>
      <c r="E190" s="81"/>
      <c r="F190" s="81"/>
      <c r="G190" s="10"/>
    </row>
    <row r="191" ht="19.5" customHeight="1">
      <c r="A191" s="8"/>
      <c r="B191" s="14"/>
      <c r="C191" s="54"/>
      <c r="D191" s="40" t="s">
        <v>21</v>
      </c>
      <c r="E191" s="77"/>
      <c r="F191" s="77"/>
      <c r="G191" s="10"/>
    </row>
    <row r="192" ht="19.5" customHeight="1">
      <c r="A192" s="8"/>
      <c r="B192" s="14"/>
      <c r="C192" s="74"/>
      <c r="D192" s="37" t="s">
        <v>22</v>
      </c>
      <c r="E192" s="81"/>
      <c r="F192" s="81"/>
      <c r="G192" s="10"/>
    </row>
    <row r="193" ht="19.5" customHeight="1">
      <c r="A193" s="8"/>
      <c r="B193" s="14"/>
      <c r="C193" s="54"/>
      <c r="D193" s="40" t="s">
        <v>23</v>
      </c>
      <c r="E193" s="77"/>
      <c r="F193" s="77"/>
      <c r="G193" s="10"/>
    </row>
    <row r="194" ht="19.5" customHeight="1">
      <c r="A194" s="8"/>
      <c r="B194" s="9" t="s">
        <v>24</v>
      </c>
      <c r="C194" s="54"/>
      <c r="D194" s="40"/>
      <c r="E194" s="77"/>
      <c r="F194" s="77"/>
      <c r="G194" s="10"/>
    </row>
    <row r="195" ht="19.5" customHeight="1">
      <c r="A195" s="8"/>
      <c r="B195" s="9" t="s">
        <v>7</v>
      </c>
      <c r="C195" s="54"/>
      <c r="D195" s="40"/>
      <c r="E195" s="77"/>
      <c r="F195" s="77"/>
      <c r="G195" s="10">
        <f>sum(G179,G141,G113,G71,G27)</f>
        <v>33584243.66</v>
      </c>
    </row>
  </sheetData>
  <mergeCells count="2">
    <mergeCell ref="B1:E1"/>
    <mergeCell ref="B3:G3"/>
  </mergeCells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2.75"/>
    <col customWidth="1" min="3" max="3" width="26.88"/>
    <col customWidth="1" min="4" max="4" width="25.13"/>
    <col customWidth="1" min="5" max="5" width="44.63"/>
    <col customWidth="1" min="6" max="6" width="32.63"/>
    <col customWidth="1" min="7" max="7" width="24.63"/>
  </cols>
  <sheetData>
    <row r="1" ht="70.5" customHeight="1">
      <c r="A1" s="1"/>
      <c r="B1" s="2" t="s">
        <v>0</v>
      </c>
      <c r="F1" s="2"/>
      <c r="G1" s="2">
        <v>2025.0</v>
      </c>
    </row>
    <row r="2" ht="12.0" customHeight="1">
      <c r="A2" s="1"/>
      <c r="B2" s="3"/>
      <c r="C2" s="3"/>
      <c r="D2" s="3"/>
      <c r="E2" s="3"/>
      <c r="F2" s="3"/>
      <c r="G2" s="3"/>
    </row>
    <row r="3" ht="30.0" customHeight="1">
      <c r="A3" s="4"/>
      <c r="B3" s="5"/>
    </row>
    <row r="4" ht="24.0" customHeight="1">
      <c r="A4" s="6"/>
      <c r="B4" s="7" t="s">
        <v>8</v>
      </c>
      <c r="C4" s="7" t="s">
        <v>1</v>
      </c>
      <c r="D4" s="7" t="s">
        <v>9</v>
      </c>
      <c r="E4" s="7" t="s">
        <v>54</v>
      </c>
      <c r="F4" s="7" t="s">
        <v>55</v>
      </c>
      <c r="G4" s="7" t="s">
        <v>6</v>
      </c>
    </row>
    <row r="5" ht="21.0" customHeight="1">
      <c r="A5" s="8"/>
      <c r="B5" s="14" t="s">
        <v>88</v>
      </c>
      <c r="C5" s="10">
        <v>2020.0</v>
      </c>
      <c r="D5" s="10" t="s">
        <v>12</v>
      </c>
      <c r="E5" s="10"/>
      <c r="F5" s="10"/>
      <c r="G5" s="10"/>
    </row>
    <row r="6" ht="21.0" customHeight="1">
      <c r="A6" s="8"/>
      <c r="B6" s="14"/>
      <c r="C6" s="10"/>
      <c r="D6" s="10" t="s">
        <v>13</v>
      </c>
      <c r="E6" s="10" t="s">
        <v>59</v>
      </c>
      <c r="F6" s="13">
        <v>250000.0</v>
      </c>
      <c r="G6" s="13">
        <v>250000.0</v>
      </c>
    </row>
    <row r="7" ht="21.0" customHeight="1">
      <c r="A7" s="8"/>
      <c r="B7" s="14"/>
      <c r="C7" s="10"/>
      <c r="D7" s="10" t="s">
        <v>14</v>
      </c>
      <c r="E7" s="12"/>
      <c r="F7" s="12"/>
      <c r="G7" s="10"/>
    </row>
    <row r="8" ht="21.0" customHeight="1">
      <c r="A8" s="8"/>
      <c r="B8" s="14"/>
      <c r="C8" s="10"/>
      <c r="D8" s="10" t="s">
        <v>15</v>
      </c>
      <c r="E8" s="13"/>
      <c r="F8" s="13"/>
      <c r="G8" s="10"/>
    </row>
    <row r="9" ht="21.0" customHeight="1">
      <c r="A9" s="8"/>
      <c r="B9" s="14"/>
      <c r="C9" s="10"/>
      <c r="D9" s="10" t="s">
        <v>16</v>
      </c>
      <c r="E9" s="10"/>
      <c r="F9" s="10"/>
      <c r="G9" s="10"/>
    </row>
    <row r="10" ht="21.0" customHeight="1">
      <c r="A10" s="8"/>
      <c r="B10" s="14"/>
      <c r="C10" s="10"/>
      <c r="D10" s="10" t="s">
        <v>17</v>
      </c>
      <c r="E10" s="10"/>
      <c r="F10" s="10"/>
      <c r="G10" s="10"/>
    </row>
    <row r="11" ht="21.0" customHeight="1">
      <c r="A11" s="8"/>
      <c r="B11" s="14"/>
      <c r="C11" s="10"/>
      <c r="D11" s="10" t="s">
        <v>18</v>
      </c>
      <c r="E11" s="10"/>
      <c r="F11" s="10"/>
      <c r="G11" s="10"/>
    </row>
    <row r="12" ht="21.0" customHeight="1">
      <c r="A12" s="8"/>
      <c r="B12" s="14"/>
      <c r="C12" s="10"/>
      <c r="D12" s="10" t="s">
        <v>19</v>
      </c>
      <c r="E12" s="10"/>
      <c r="F12" s="10"/>
      <c r="G12" s="10"/>
    </row>
    <row r="13" ht="19.5" customHeight="1">
      <c r="A13" s="8"/>
      <c r="B13" s="14"/>
      <c r="C13" s="10"/>
      <c r="D13" s="10" t="s">
        <v>20</v>
      </c>
      <c r="E13" s="10"/>
      <c r="F13" s="10"/>
      <c r="G13" s="10"/>
    </row>
    <row r="14" ht="19.5" customHeight="1">
      <c r="A14" s="8"/>
      <c r="B14" s="14"/>
      <c r="C14" s="10"/>
      <c r="D14" s="10" t="s">
        <v>21</v>
      </c>
      <c r="E14" s="10"/>
      <c r="F14" s="10"/>
      <c r="G14" s="10"/>
    </row>
    <row r="15" ht="19.5" customHeight="1">
      <c r="A15" s="8"/>
      <c r="B15" s="14"/>
      <c r="C15" s="10"/>
      <c r="D15" s="10" t="s">
        <v>22</v>
      </c>
      <c r="E15" s="10"/>
      <c r="F15" s="10"/>
      <c r="G15" s="10"/>
    </row>
    <row r="16" ht="19.5" customHeight="1">
      <c r="A16" s="8"/>
      <c r="B16" s="14"/>
      <c r="C16" s="10"/>
      <c r="D16" s="10" t="s">
        <v>23</v>
      </c>
      <c r="E16" s="10"/>
      <c r="F16" s="10"/>
      <c r="G16" s="10"/>
    </row>
    <row r="17" ht="19.5" customHeight="1">
      <c r="A17" s="8"/>
      <c r="B17" s="9" t="s">
        <v>24</v>
      </c>
      <c r="C17" s="10"/>
      <c r="D17" s="10"/>
      <c r="E17" s="10"/>
      <c r="F17" s="10"/>
      <c r="G17" s="10">
        <f>SUM(G5:G16)</f>
        <v>250000</v>
      </c>
    </row>
    <row r="18" ht="19.5" customHeight="1">
      <c r="A18" s="8"/>
      <c r="B18" s="9"/>
      <c r="C18" s="10"/>
      <c r="D18" s="10"/>
      <c r="E18" s="10"/>
      <c r="F18" s="10"/>
      <c r="G18" s="10"/>
    </row>
    <row r="19" ht="19.5" customHeight="1">
      <c r="A19" s="8"/>
      <c r="B19" s="14"/>
      <c r="C19" s="10"/>
      <c r="D19" s="10"/>
      <c r="E19" s="10"/>
      <c r="F19" s="10"/>
      <c r="G19" s="10"/>
    </row>
    <row r="20" ht="19.5" customHeight="1">
      <c r="A20" s="8"/>
      <c r="B20" s="14"/>
      <c r="C20" s="38">
        <v>2021.0</v>
      </c>
      <c r="D20" s="37" t="s">
        <v>12</v>
      </c>
      <c r="E20" s="37"/>
      <c r="F20" s="38"/>
      <c r="G20" s="10"/>
    </row>
    <row r="21" ht="19.5" customHeight="1">
      <c r="A21" s="8"/>
      <c r="B21" s="14"/>
      <c r="C21" s="54"/>
      <c r="D21" s="40" t="s">
        <v>13</v>
      </c>
      <c r="E21" s="41"/>
      <c r="F21" s="41"/>
      <c r="G21" s="10"/>
    </row>
    <row r="22" ht="19.5" customHeight="1">
      <c r="A22" s="8"/>
      <c r="B22" s="14"/>
      <c r="C22" s="74"/>
      <c r="D22" s="37" t="s">
        <v>14</v>
      </c>
      <c r="E22" s="78"/>
      <c r="F22" s="78"/>
      <c r="G22" s="10"/>
    </row>
    <row r="23" ht="19.5" customHeight="1">
      <c r="A23" s="8"/>
      <c r="B23" s="14"/>
      <c r="C23" s="54"/>
      <c r="D23" s="40" t="s">
        <v>15</v>
      </c>
      <c r="E23" s="10" t="s">
        <v>59</v>
      </c>
      <c r="F23" s="50">
        <v>400000.0</v>
      </c>
      <c r="G23" s="50">
        <v>400000.0</v>
      </c>
    </row>
    <row r="24" ht="19.5" customHeight="1">
      <c r="A24" s="8"/>
      <c r="B24" s="14"/>
      <c r="C24" s="74"/>
      <c r="D24" s="37" t="s">
        <v>16</v>
      </c>
      <c r="E24" s="38" t="s">
        <v>89</v>
      </c>
      <c r="F24" s="35">
        <v>150000.0</v>
      </c>
      <c r="G24" s="35">
        <v>150000.0</v>
      </c>
    </row>
    <row r="25" ht="19.5" customHeight="1">
      <c r="A25" s="8"/>
      <c r="B25" s="14"/>
      <c r="C25" s="54"/>
      <c r="D25" s="40" t="s">
        <v>17</v>
      </c>
      <c r="E25" s="78"/>
      <c r="F25" s="78"/>
      <c r="G25" s="10"/>
    </row>
    <row r="26" ht="19.5" customHeight="1">
      <c r="A26" s="8"/>
      <c r="B26" s="14"/>
      <c r="C26" s="74"/>
      <c r="D26" s="37" t="s">
        <v>18</v>
      </c>
      <c r="E26" s="78"/>
      <c r="F26" s="78"/>
      <c r="G26" s="10"/>
    </row>
    <row r="27" ht="19.5" customHeight="1">
      <c r="A27" s="8"/>
      <c r="B27" s="14"/>
      <c r="C27" s="54"/>
      <c r="D27" s="40" t="s">
        <v>19</v>
      </c>
      <c r="E27" s="78"/>
      <c r="F27" s="78"/>
      <c r="G27" s="10"/>
    </row>
    <row r="28" ht="19.5" customHeight="1">
      <c r="A28" s="8"/>
      <c r="B28" s="14"/>
      <c r="C28" s="74"/>
      <c r="D28" s="37" t="s">
        <v>20</v>
      </c>
      <c r="E28" s="78"/>
      <c r="F28" s="78"/>
      <c r="G28" s="10"/>
    </row>
    <row r="29" ht="19.5" customHeight="1">
      <c r="A29" s="8"/>
      <c r="B29" s="14"/>
      <c r="C29" s="54"/>
      <c r="D29" s="40" t="s">
        <v>21</v>
      </c>
      <c r="E29" s="78"/>
      <c r="F29" s="78"/>
      <c r="G29" s="10"/>
    </row>
    <row r="30" ht="19.5" customHeight="1">
      <c r="A30" s="8"/>
      <c r="B30" s="14"/>
      <c r="C30" s="74"/>
      <c r="D30" s="37" t="s">
        <v>22</v>
      </c>
      <c r="E30" s="78"/>
      <c r="F30" s="78"/>
      <c r="G30" s="10"/>
    </row>
    <row r="31" ht="19.5" customHeight="1">
      <c r="A31" s="8"/>
      <c r="B31" s="14"/>
      <c r="C31" s="54"/>
      <c r="D31" s="40" t="s">
        <v>23</v>
      </c>
      <c r="E31" s="78"/>
      <c r="F31" s="78"/>
      <c r="G31" s="10"/>
    </row>
    <row r="32" ht="19.5" customHeight="1">
      <c r="A32" s="8"/>
      <c r="B32" s="9" t="s">
        <v>24</v>
      </c>
      <c r="C32" s="54"/>
      <c r="D32" s="40"/>
      <c r="E32" s="78"/>
      <c r="F32" s="78"/>
      <c r="G32" s="10">
        <f>sum(G20:G31)</f>
        <v>550000</v>
      </c>
    </row>
    <row r="33" ht="19.5" customHeight="1">
      <c r="A33" s="8"/>
      <c r="B33" s="9"/>
      <c r="C33" s="54"/>
      <c r="D33" s="40"/>
      <c r="E33" s="78"/>
      <c r="F33" s="78"/>
      <c r="G33" s="10"/>
    </row>
    <row r="34" ht="19.5" customHeight="1">
      <c r="A34" s="8"/>
      <c r="B34" s="9"/>
      <c r="C34" s="54"/>
      <c r="D34" s="40"/>
      <c r="E34" s="78"/>
      <c r="F34" s="78"/>
      <c r="G34" s="10"/>
    </row>
    <row r="35" ht="19.5" customHeight="1">
      <c r="A35" s="8"/>
      <c r="B35" s="14"/>
      <c r="C35" s="38">
        <v>2022.0</v>
      </c>
      <c r="D35" s="37" t="s">
        <v>12</v>
      </c>
      <c r="E35" s="78"/>
      <c r="F35" s="78"/>
      <c r="G35" s="10"/>
    </row>
    <row r="36" ht="19.5" customHeight="1">
      <c r="A36" s="8"/>
      <c r="B36" s="14"/>
      <c r="C36" s="54"/>
      <c r="D36" s="40" t="s">
        <v>13</v>
      </c>
      <c r="E36" s="78"/>
      <c r="F36" s="78"/>
      <c r="G36" s="10"/>
    </row>
    <row r="37" ht="19.5" customHeight="1">
      <c r="A37" s="8"/>
      <c r="B37" s="14"/>
      <c r="C37" s="74"/>
      <c r="D37" s="37" t="s">
        <v>14</v>
      </c>
      <c r="E37" s="78"/>
      <c r="F37" s="78"/>
      <c r="G37" s="10"/>
    </row>
    <row r="38" ht="19.5" customHeight="1">
      <c r="A38" s="8"/>
      <c r="B38" s="14"/>
      <c r="C38" s="54"/>
      <c r="D38" s="40" t="s">
        <v>15</v>
      </c>
      <c r="E38" s="78"/>
      <c r="F38" s="78"/>
      <c r="G38" s="10"/>
    </row>
    <row r="39" ht="19.5" customHeight="1">
      <c r="A39" s="8"/>
      <c r="B39" s="14"/>
      <c r="C39" s="74"/>
      <c r="D39" s="37" t="s">
        <v>16</v>
      </c>
      <c r="E39" s="78"/>
      <c r="F39" s="78"/>
      <c r="G39" s="10"/>
    </row>
    <row r="40" ht="19.5" customHeight="1">
      <c r="A40" s="8"/>
      <c r="B40" s="14"/>
      <c r="C40" s="54"/>
      <c r="D40" s="40" t="s">
        <v>17</v>
      </c>
      <c r="E40" s="78"/>
      <c r="F40" s="78"/>
      <c r="G40" s="10"/>
    </row>
    <row r="41" ht="19.5" customHeight="1">
      <c r="A41" s="8"/>
      <c r="B41" s="14"/>
      <c r="C41" s="74"/>
      <c r="D41" s="37" t="s">
        <v>18</v>
      </c>
      <c r="E41" s="78"/>
      <c r="F41" s="78"/>
      <c r="G41" s="10"/>
    </row>
    <row r="42" ht="19.5" customHeight="1">
      <c r="A42" s="8"/>
      <c r="B42" s="14"/>
      <c r="C42" s="54"/>
      <c r="D42" s="40" t="s">
        <v>19</v>
      </c>
      <c r="E42" s="78"/>
      <c r="F42" s="78"/>
      <c r="G42" s="10"/>
    </row>
    <row r="43" ht="19.5" customHeight="1">
      <c r="A43" s="8"/>
      <c r="B43" s="14"/>
      <c r="C43" s="74"/>
      <c r="D43" s="37" t="s">
        <v>20</v>
      </c>
      <c r="E43" s="78"/>
      <c r="F43" s="78"/>
      <c r="G43" s="10"/>
    </row>
    <row r="44" ht="19.5" customHeight="1">
      <c r="A44" s="8"/>
      <c r="B44" s="14"/>
      <c r="C44" s="54"/>
      <c r="D44" s="40" t="s">
        <v>21</v>
      </c>
      <c r="E44" s="78"/>
      <c r="F44" s="78"/>
      <c r="G44" s="10"/>
    </row>
    <row r="45" ht="19.5" customHeight="1">
      <c r="A45" s="8"/>
      <c r="B45" s="14"/>
      <c r="C45" s="74"/>
      <c r="D45" s="37" t="s">
        <v>22</v>
      </c>
      <c r="E45" s="78"/>
      <c r="F45" s="78"/>
      <c r="G45" s="10"/>
    </row>
    <row r="46" ht="19.5" customHeight="1">
      <c r="A46" s="8"/>
      <c r="B46" s="14"/>
      <c r="C46" s="54"/>
      <c r="D46" s="40" t="s">
        <v>23</v>
      </c>
      <c r="E46" s="78"/>
      <c r="F46" s="78"/>
      <c r="G46" s="10"/>
    </row>
    <row r="47" ht="19.5" customHeight="1">
      <c r="A47" s="8"/>
      <c r="B47" s="9" t="s">
        <v>24</v>
      </c>
      <c r="C47" s="54"/>
      <c r="D47" s="40"/>
      <c r="E47" s="54"/>
      <c r="F47" s="54"/>
      <c r="G47" s="10"/>
    </row>
    <row r="48" ht="19.5" customHeight="1">
      <c r="A48" s="8"/>
      <c r="B48" s="9"/>
      <c r="C48" s="54"/>
      <c r="D48" s="40"/>
      <c r="E48" s="54"/>
      <c r="F48" s="54"/>
      <c r="G48" s="10"/>
    </row>
    <row r="49" ht="19.5" customHeight="1">
      <c r="A49" s="8"/>
      <c r="B49" s="9"/>
      <c r="C49" s="54"/>
      <c r="D49" s="40"/>
      <c r="E49" s="54"/>
      <c r="F49" s="54"/>
      <c r="G49" s="10"/>
    </row>
    <row r="50" ht="19.5" customHeight="1">
      <c r="A50" s="8"/>
      <c r="B50" s="14"/>
      <c r="C50" s="38">
        <v>2023.0</v>
      </c>
      <c r="D50" s="37" t="s">
        <v>12</v>
      </c>
      <c r="E50" s="93" t="s">
        <v>61</v>
      </c>
      <c r="F50" s="35">
        <v>250000.0</v>
      </c>
      <c r="G50" s="35">
        <v>250000.0</v>
      </c>
    </row>
    <row r="51" ht="19.5" customHeight="1">
      <c r="A51" s="8"/>
      <c r="B51" s="14"/>
      <c r="C51" s="54"/>
      <c r="D51" s="40" t="s">
        <v>13</v>
      </c>
      <c r="E51" s="78"/>
      <c r="F51" s="78"/>
      <c r="G51" s="10"/>
    </row>
    <row r="52" ht="19.5" customHeight="1">
      <c r="A52" s="8"/>
      <c r="B52" s="14"/>
      <c r="C52" s="74"/>
      <c r="D52" s="37" t="s">
        <v>14</v>
      </c>
      <c r="E52" s="78"/>
      <c r="F52" s="78"/>
      <c r="G52" s="10"/>
    </row>
    <row r="53" ht="19.5" customHeight="1">
      <c r="A53" s="8"/>
      <c r="B53" s="14"/>
      <c r="C53" s="54"/>
      <c r="D53" s="40" t="s">
        <v>15</v>
      </c>
      <c r="E53" s="78"/>
      <c r="F53" s="78"/>
      <c r="G53" s="10"/>
    </row>
    <row r="54" ht="19.5" customHeight="1">
      <c r="A54" s="8"/>
      <c r="B54" s="14"/>
      <c r="C54" s="74"/>
      <c r="D54" s="37" t="s">
        <v>16</v>
      </c>
      <c r="E54" s="78"/>
      <c r="F54" s="78"/>
      <c r="G54" s="10"/>
    </row>
    <row r="55" ht="19.5" customHeight="1">
      <c r="A55" s="8"/>
      <c r="B55" s="14"/>
      <c r="C55" s="54"/>
      <c r="D55" s="40" t="s">
        <v>17</v>
      </c>
      <c r="E55" s="78"/>
      <c r="F55" s="78"/>
      <c r="G55" s="10"/>
    </row>
    <row r="56" ht="19.5" customHeight="1">
      <c r="A56" s="8"/>
      <c r="B56" s="14"/>
      <c r="C56" s="74"/>
      <c r="D56" s="37" t="s">
        <v>18</v>
      </c>
      <c r="E56" s="78"/>
      <c r="F56" s="78"/>
      <c r="G56" s="10"/>
    </row>
    <row r="57" ht="19.5" customHeight="1">
      <c r="A57" s="8"/>
      <c r="B57" s="14"/>
      <c r="C57" s="54"/>
      <c r="D57" s="40" t="s">
        <v>19</v>
      </c>
      <c r="E57" s="78"/>
      <c r="F57" s="78"/>
      <c r="G57" s="10"/>
    </row>
    <row r="58" ht="19.5" customHeight="1">
      <c r="A58" s="8"/>
      <c r="B58" s="14"/>
      <c r="C58" s="74"/>
      <c r="D58" s="37" t="s">
        <v>20</v>
      </c>
      <c r="E58" s="78"/>
      <c r="F58" s="78"/>
      <c r="G58" s="10"/>
    </row>
    <row r="59" ht="19.5" customHeight="1">
      <c r="A59" s="8"/>
      <c r="B59" s="14"/>
      <c r="C59" s="54"/>
      <c r="D59" s="40" t="s">
        <v>21</v>
      </c>
      <c r="E59" s="78"/>
      <c r="F59" s="78"/>
      <c r="G59" s="10"/>
    </row>
    <row r="60" ht="19.5" customHeight="1">
      <c r="A60" s="8"/>
      <c r="B60" s="14"/>
      <c r="C60" s="74"/>
      <c r="D60" s="37" t="s">
        <v>22</v>
      </c>
      <c r="E60" s="78"/>
      <c r="F60" s="78"/>
      <c r="G60" s="10"/>
    </row>
    <row r="61" ht="19.5" customHeight="1">
      <c r="A61" s="8"/>
      <c r="B61" s="14"/>
      <c r="C61" s="54"/>
      <c r="D61" s="40" t="s">
        <v>23</v>
      </c>
      <c r="E61" s="78"/>
      <c r="F61" s="78"/>
      <c r="G61" s="10"/>
    </row>
    <row r="62" ht="19.5" customHeight="1">
      <c r="A62" s="8"/>
      <c r="B62" s="9" t="s">
        <v>24</v>
      </c>
      <c r="C62" s="54"/>
      <c r="D62" s="40"/>
      <c r="E62" s="54"/>
      <c r="F62" s="54"/>
      <c r="G62" s="13">
        <f>sum(G50:G61)</f>
        <v>250000</v>
      </c>
    </row>
    <row r="63" ht="19.5" customHeight="1">
      <c r="A63" s="8"/>
      <c r="B63" s="9"/>
      <c r="C63" s="54"/>
      <c r="D63" s="40"/>
      <c r="E63" s="54"/>
      <c r="F63" s="54"/>
      <c r="G63" s="10"/>
    </row>
    <row r="64" ht="19.5" customHeight="1">
      <c r="A64" s="8"/>
      <c r="B64" s="9"/>
      <c r="C64" s="54"/>
      <c r="D64" s="40"/>
      <c r="E64" s="54"/>
      <c r="F64" s="54"/>
      <c r="G64" s="10"/>
    </row>
    <row r="65" ht="19.5" customHeight="1">
      <c r="A65" s="8"/>
      <c r="B65" s="14"/>
      <c r="C65" s="38">
        <v>2024.0</v>
      </c>
      <c r="D65" s="37" t="s">
        <v>12</v>
      </c>
      <c r="E65" s="78"/>
      <c r="F65" s="78"/>
      <c r="G65" s="10"/>
    </row>
    <row r="66" ht="19.5" customHeight="1">
      <c r="A66" s="8"/>
      <c r="B66" s="14"/>
      <c r="C66" s="54"/>
      <c r="D66" s="40" t="s">
        <v>13</v>
      </c>
      <c r="E66" s="78"/>
      <c r="F66" s="78"/>
      <c r="G66" s="10"/>
    </row>
    <row r="67" ht="19.5" customHeight="1">
      <c r="A67" s="8"/>
      <c r="B67" s="14"/>
      <c r="C67" s="74"/>
      <c r="D67" s="37" t="s">
        <v>14</v>
      </c>
      <c r="E67" s="78"/>
      <c r="F67" s="78"/>
      <c r="G67" s="10"/>
    </row>
    <row r="68" ht="19.5" customHeight="1">
      <c r="A68" s="8"/>
      <c r="B68" s="14"/>
      <c r="C68" s="54"/>
      <c r="D68" s="40" t="s">
        <v>15</v>
      </c>
      <c r="E68" s="78"/>
      <c r="F68" s="78"/>
      <c r="G68" s="10"/>
    </row>
    <row r="69" ht="19.5" customHeight="1">
      <c r="A69" s="8"/>
      <c r="B69" s="14"/>
      <c r="C69" s="74"/>
      <c r="D69" s="37" t="s">
        <v>16</v>
      </c>
      <c r="E69" s="78"/>
      <c r="F69" s="78"/>
      <c r="G69" s="10"/>
    </row>
    <row r="70" ht="19.5" customHeight="1">
      <c r="A70" s="8"/>
      <c r="B70" s="14"/>
      <c r="C70" s="54"/>
      <c r="D70" s="40" t="s">
        <v>17</v>
      </c>
      <c r="E70" s="78"/>
      <c r="F70" s="78"/>
      <c r="G70" s="10"/>
    </row>
    <row r="71" ht="19.5" customHeight="1">
      <c r="A71" s="8"/>
      <c r="B71" s="14"/>
      <c r="C71" s="74"/>
      <c r="D71" s="37" t="s">
        <v>18</v>
      </c>
      <c r="E71" s="78"/>
      <c r="F71" s="78"/>
      <c r="G71" s="10"/>
    </row>
    <row r="72" ht="19.5" customHeight="1">
      <c r="A72" s="8"/>
      <c r="B72" s="14"/>
      <c r="C72" s="54"/>
      <c r="D72" s="40" t="s">
        <v>19</v>
      </c>
      <c r="E72" s="78"/>
      <c r="F72" s="78"/>
      <c r="G72" s="10"/>
    </row>
    <row r="73" ht="19.5" customHeight="1">
      <c r="A73" s="8"/>
      <c r="B73" s="14"/>
      <c r="C73" s="74"/>
      <c r="D73" s="37" t="s">
        <v>20</v>
      </c>
      <c r="E73" s="78"/>
      <c r="F73" s="78"/>
      <c r="G73" s="10"/>
    </row>
    <row r="74" ht="19.5" customHeight="1">
      <c r="A74" s="8"/>
      <c r="B74" s="14"/>
      <c r="C74" s="54"/>
      <c r="D74" s="40" t="s">
        <v>21</v>
      </c>
      <c r="E74" s="78"/>
      <c r="F74" s="78"/>
      <c r="G74" s="10"/>
    </row>
    <row r="75" ht="19.5" customHeight="1">
      <c r="A75" s="8"/>
      <c r="B75" s="14"/>
      <c r="C75" s="74"/>
      <c r="D75" s="37" t="s">
        <v>22</v>
      </c>
      <c r="E75" s="78"/>
      <c r="F75" s="78"/>
      <c r="G75" s="10"/>
    </row>
    <row r="76" ht="19.5" customHeight="1">
      <c r="A76" s="8"/>
      <c r="B76" s="14"/>
      <c r="C76" s="54"/>
      <c r="D76" s="40" t="s">
        <v>23</v>
      </c>
      <c r="E76" s="78"/>
      <c r="F76" s="78"/>
      <c r="G76" s="10"/>
    </row>
    <row r="77" ht="19.5" customHeight="1">
      <c r="A77" s="8"/>
      <c r="B77" s="9" t="s">
        <v>24</v>
      </c>
      <c r="C77" s="54"/>
      <c r="D77" s="40"/>
      <c r="E77" s="54"/>
      <c r="F77" s="54"/>
      <c r="G77" s="10"/>
    </row>
    <row r="78" ht="19.5" customHeight="1">
      <c r="A78" s="8"/>
      <c r="B78" s="9"/>
      <c r="C78" s="54"/>
      <c r="D78" s="40"/>
      <c r="E78" s="54"/>
      <c r="F78" s="54"/>
      <c r="G78" s="10"/>
    </row>
    <row r="79" ht="19.5" customHeight="1">
      <c r="A79" s="8"/>
      <c r="B79" s="9"/>
      <c r="C79" s="54"/>
      <c r="D79" s="40"/>
      <c r="E79" s="54"/>
      <c r="F79" s="54"/>
      <c r="G79" s="10"/>
    </row>
    <row r="80" ht="19.5" customHeight="1">
      <c r="A80" s="8"/>
      <c r="B80" s="14"/>
      <c r="C80" s="38">
        <v>2025.0</v>
      </c>
      <c r="D80" s="37" t="s">
        <v>12</v>
      </c>
      <c r="E80" s="37"/>
      <c r="F80" s="37"/>
      <c r="G80" s="10"/>
    </row>
    <row r="81" ht="19.5" customHeight="1">
      <c r="A81" s="8"/>
      <c r="B81" s="14"/>
      <c r="C81" s="54"/>
      <c r="D81" s="40" t="s">
        <v>13</v>
      </c>
      <c r="E81" s="41" t="s">
        <v>90</v>
      </c>
      <c r="F81" s="41">
        <v>400000.0</v>
      </c>
      <c r="G81" s="10"/>
    </row>
    <row r="82" ht="19.5" customHeight="1">
      <c r="A82" s="8"/>
      <c r="B82" s="14"/>
      <c r="C82" s="54"/>
      <c r="D82" s="40"/>
      <c r="E82" s="41" t="s">
        <v>91</v>
      </c>
      <c r="F82" s="41">
        <v>100000.0</v>
      </c>
      <c r="G82" s="10">
        <v>500000.0</v>
      </c>
    </row>
    <row r="83" ht="19.5" customHeight="1">
      <c r="A83" s="8"/>
      <c r="B83" s="14"/>
      <c r="C83" s="74"/>
      <c r="D83" s="37" t="s">
        <v>14</v>
      </c>
      <c r="E83" s="92"/>
      <c r="F83" s="92"/>
      <c r="G83" s="10"/>
    </row>
    <row r="84" ht="19.5" customHeight="1">
      <c r="A84" s="8"/>
      <c r="B84" s="14"/>
      <c r="C84" s="54"/>
      <c r="D84" s="40" t="s">
        <v>15</v>
      </c>
      <c r="E84" s="51"/>
      <c r="F84" s="51"/>
      <c r="G84" s="10"/>
    </row>
    <row r="85" ht="19.5" customHeight="1">
      <c r="A85" s="8"/>
      <c r="B85" s="14"/>
      <c r="C85" s="74"/>
      <c r="D85" s="37" t="s">
        <v>16</v>
      </c>
      <c r="E85" s="37"/>
      <c r="F85" s="37"/>
      <c r="G85" s="10"/>
    </row>
    <row r="86" ht="19.5" customHeight="1">
      <c r="A86" s="8"/>
      <c r="B86" s="14"/>
      <c r="C86" s="54"/>
      <c r="D86" s="40" t="s">
        <v>17</v>
      </c>
      <c r="E86" s="54"/>
      <c r="F86" s="54"/>
      <c r="G86" s="10"/>
    </row>
    <row r="87" ht="19.5" customHeight="1">
      <c r="A87" s="8"/>
      <c r="B87" s="14"/>
      <c r="C87" s="74"/>
      <c r="D87" s="37" t="s">
        <v>18</v>
      </c>
      <c r="E87" s="74"/>
      <c r="F87" s="74"/>
      <c r="G87" s="10"/>
    </row>
    <row r="88" ht="19.5" customHeight="1">
      <c r="A88" s="8"/>
      <c r="B88" s="14"/>
      <c r="C88" s="54"/>
      <c r="D88" s="40" t="s">
        <v>19</v>
      </c>
      <c r="E88" s="54"/>
      <c r="F88" s="54"/>
      <c r="G88" s="10"/>
    </row>
    <row r="89" ht="19.5" customHeight="1">
      <c r="A89" s="8"/>
      <c r="B89" s="14"/>
      <c r="C89" s="74"/>
      <c r="D89" s="37" t="s">
        <v>20</v>
      </c>
      <c r="E89" s="74"/>
      <c r="F89" s="74"/>
      <c r="G89" s="10"/>
    </row>
    <row r="90" ht="19.5" customHeight="1">
      <c r="A90" s="8"/>
      <c r="B90" s="14"/>
      <c r="C90" s="54"/>
      <c r="D90" s="40" t="s">
        <v>21</v>
      </c>
      <c r="E90" s="54"/>
      <c r="F90" s="54"/>
      <c r="G90" s="10"/>
    </row>
    <row r="91" ht="19.5" customHeight="1">
      <c r="A91" s="8"/>
      <c r="B91" s="14"/>
      <c r="C91" s="74"/>
      <c r="D91" s="37" t="s">
        <v>22</v>
      </c>
      <c r="E91" s="74"/>
      <c r="F91" s="74"/>
      <c r="G91" s="10"/>
    </row>
    <row r="92" ht="19.5" customHeight="1">
      <c r="A92" s="8"/>
      <c r="B92" s="14"/>
      <c r="C92" s="54"/>
      <c r="D92" s="40" t="s">
        <v>23</v>
      </c>
      <c r="E92" s="54"/>
      <c r="F92" s="54"/>
      <c r="G92" s="10"/>
    </row>
    <row r="93" ht="19.5" customHeight="1">
      <c r="A93" s="8"/>
      <c r="B93" s="9" t="s">
        <v>24</v>
      </c>
      <c r="C93" s="54"/>
      <c r="D93" s="40"/>
      <c r="E93" s="54"/>
      <c r="F93" s="54"/>
      <c r="G93" s="10">
        <f>sum(G80:G92)</f>
        <v>500000</v>
      </c>
    </row>
    <row r="94" ht="19.5" customHeight="1">
      <c r="A94" s="8"/>
      <c r="B94" s="9" t="s">
        <v>7</v>
      </c>
      <c r="C94" s="54"/>
      <c r="D94" s="40"/>
      <c r="E94" s="54"/>
      <c r="F94" s="54"/>
      <c r="G94" s="10">
        <f>sum(G93,G77,G62,G47,G32,G17)</f>
        <v>1550000</v>
      </c>
    </row>
  </sheetData>
  <mergeCells count="2">
    <mergeCell ref="B1:E1"/>
    <mergeCell ref="B3:G3"/>
  </mergeCells>
  <drawing r:id="rId1"/>
  <tableParts count="2">
    <tablePart r:id="rId4"/>
    <tablePart r:id="rId5"/>
  </tableParts>
</worksheet>
</file>