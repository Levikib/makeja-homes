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Total Expenses" sheetId="1" r:id="rId3"/>
    <sheet state="visible" name="2025 Renovations Expenditure" sheetId="2" r:id="rId4"/>
    <sheet state="visible" name="2024 Renovations Expenditure" sheetId="3" r:id="rId5"/>
    <sheet state="visible" name="2023 Renovations Expenditure" sheetId="4" r:id="rId6"/>
    <sheet state="visible" name="2025 Electricity Expenditure" sheetId="5" r:id="rId7"/>
    <sheet state="visible" name="KRA Payments" sheetId="6" r:id="rId8"/>
    <sheet state="visible" name="2024 Electricity Expenditure" sheetId="7" r:id="rId9"/>
    <sheet state="visible" name="2025" sheetId="8" r:id="rId10"/>
    <sheet state="visible" name="2024" sheetId="9" r:id="rId11"/>
    <sheet state="visible" name="2023" sheetId="10" r:id="rId12"/>
  </sheets>
  <definedNames/>
  <calcPr/>
</workbook>
</file>

<file path=xl/sharedStrings.xml><?xml version="1.0" encoding="utf-8"?>
<sst xmlns="http://schemas.openxmlformats.org/spreadsheetml/2006/main" count="1612" uniqueCount="250">
  <si>
    <t>Expenditure Report</t>
  </si>
  <si>
    <t>Expense Desription</t>
  </si>
  <si>
    <t>Amount</t>
  </si>
  <si>
    <t>Renovations and Maintenance</t>
  </si>
  <si>
    <t>Electricity Payments</t>
  </si>
  <si>
    <t>County Rates Expense</t>
  </si>
  <si>
    <t>Salaries &amp; Consultancy</t>
  </si>
  <si>
    <t>Accounting Expenses</t>
  </si>
  <si>
    <t>Totals</t>
  </si>
  <si>
    <t>Bank Account/ M-pesa Account</t>
  </si>
  <si>
    <t>Month</t>
  </si>
  <si>
    <t>M-pesa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</si>
  <si>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</si>
  <si>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</si>
  <si>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</si>
  <si>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</si>
  <si>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</si>
  <si>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</si>
  <si>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</si>
  <si>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</si>
  <si>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</si>
  <si>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</si>
  <si>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</si>
  <si>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</si>
  <si>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Account</t>
  </si>
  <si>
    <t>KPLC PREPAID Acc. 14367718054</t>
  </si>
  <si>
    <t>KPLC PREPAID Acc. 14105470646</t>
  </si>
  <si>
    <t>KPLC PREPAID Acc. 14104404000</t>
  </si>
  <si>
    <t>KPLC PREPAID Acc. 371697096</t>
  </si>
  <si>
    <t>KPLC PREPAID Acc. 14420208317</t>
  </si>
  <si>
    <t>KPLC PREPAID Acc. 14104403887</t>
  </si>
  <si>
    <t>KPLC PREPAID Acc. 04220143467</t>
  </si>
  <si>
    <t>KPLC Prepaid Acc No: 14367718054</t>
  </si>
  <si>
    <t>KPLC Prepaid Acc No: 14104403887</t>
  </si>
  <si>
    <t>KPLC Prepaid Acc No: 14105470646</t>
  </si>
  <si>
    <t>KPLC Prepaid Acc No:14104404000</t>
  </si>
  <si>
    <t>KPLC Prepaid Acc No: 04220143467</t>
  </si>
  <si>
    <t>KPLC Prepaid Acc No: 46201398743</t>
  </si>
  <si>
    <t>KPLC Prepaid Acc No: 54607921084</t>
  </si>
  <si>
    <t>KPLC Prepaid Acc No: 14104404000</t>
  </si>
  <si>
    <t>KPLC Prepaid Acc No: 14420208317</t>
  </si>
  <si>
    <t>KPLC Prepaid Acc No: 37167909617</t>
  </si>
  <si>
    <t>KPLC Prepaid Acc No:54607921084</t>
  </si>
  <si>
    <t>KPLC Prepaid 04220143467</t>
  </si>
  <si>
    <t>KPLC Prepaid 14104403887</t>
  </si>
  <si>
    <t>KPLC Prepaid 14105470646</t>
  </si>
  <si>
    <t>KPLC Prepaid 14104404000</t>
  </si>
  <si>
    <t>KPLC Prepaid 14367718054</t>
  </si>
  <si>
    <t>KPLC Prepaid 14420208317</t>
  </si>
  <si>
    <t>KPLC Prepaid 37169709617</t>
  </si>
  <si>
    <t>Year</t>
  </si>
  <si>
    <t>Payment Method</t>
  </si>
  <si>
    <t>Mpesa Payment</t>
  </si>
  <si>
    <t>Co-op Account (01125002903300)</t>
  </si>
  <si>
    <t>Co-op Account (01103002903300)</t>
  </si>
  <si>
    <t>KPLC Acc No: 04402143467</t>
  </si>
  <si>
    <t>KPLC Acc No: 14104404000</t>
  </si>
  <si>
    <t>KPLC Acc No: 14104403887</t>
  </si>
  <si>
    <t>KPLC Acc No: 14420208317</t>
  </si>
  <si>
    <t>KPLC Acc No: 37169709617</t>
  </si>
  <si>
    <t>KPLC Acc No: 46201398743</t>
  </si>
  <si>
    <t>KPLC Acc No: 54607921084</t>
  </si>
  <si>
    <t>KPLC Acc No: 14105470471</t>
  </si>
  <si>
    <t>KPLC Acc No 14283105881</t>
  </si>
  <si>
    <t>KPLC Acc No: 14367718054</t>
  </si>
  <si>
    <t>KPLC Acc No: 14105470646</t>
  </si>
  <si>
    <t>KPLC Acc No: 460201398743</t>
  </si>
  <si>
    <t>KPLC Acc No:14367718054</t>
  </si>
  <si>
    <t>KPLC Acc No: 04220143467</t>
  </si>
  <si>
    <t>Source</t>
  </si>
  <si>
    <t>Renovations/ Job Maina</t>
  </si>
  <si>
    <t>KRA Payments</t>
  </si>
  <si>
    <t>Water Payments (Account Number)</t>
  </si>
  <si>
    <t>County Rates Payment</t>
  </si>
  <si>
    <t>ATM/ Mpesa Withdrawal</t>
  </si>
  <si>
    <t>Self Transfer</t>
  </si>
  <si>
    <t>Other Expenditure</t>
  </si>
  <si>
    <t>Total Expenditure</t>
  </si>
  <si>
    <r>
      <rPr>
        <rFont val="Montserrat"/>
        <sz val="10.0"/>
      </rPr>
      <t>Co-operative Bank (</t>
    </r>
    <r>
      <rPr>
        <rFont val="Montserrat"/>
        <strike/>
        <color rgb="FFD9D9D9"/>
        <sz val="10.0"/>
      </rPr>
      <t>0112500290</t>
    </r>
    <r>
      <rPr>
        <rFont val="Montserrat"/>
        <sz val="10.0"/>
      </rPr>
      <t>3300)</t>
    </r>
  </si>
  <si>
    <t>Credit alert CRG</t>
  </si>
  <si>
    <t>Credit CRG Excise Duty</t>
  </si>
  <si>
    <t>Safaricom</t>
  </si>
  <si>
    <t>M-Pesa Bank Commision</t>
  </si>
  <si>
    <t>Excise</t>
  </si>
  <si>
    <t>Transfer to M-Pesa</t>
  </si>
  <si>
    <t>Life Ministry Kenya</t>
  </si>
  <si>
    <t>DDI Reference</t>
  </si>
  <si>
    <t>DDI Comm Reference</t>
  </si>
  <si>
    <t>Excise Duty Reference</t>
  </si>
  <si>
    <t>Naivas South C</t>
  </si>
  <si>
    <t>Kenneth Mwangi</t>
  </si>
  <si>
    <t>KRA PG Domestic Tax</t>
  </si>
  <si>
    <t>Mombasardbr001 ATM</t>
  </si>
  <si>
    <t>Kasarani ATM</t>
  </si>
  <si>
    <t>Cityhall ATM</t>
  </si>
  <si>
    <t>Mombasa ATM</t>
  </si>
  <si>
    <t>Direct Debits Processing Fee</t>
  </si>
  <si>
    <t>ACHID/O/NCP</t>
  </si>
  <si>
    <t>Magunas</t>
  </si>
  <si>
    <t>Mukuyu ATM</t>
  </si>
  <si>
    <t>Naivasha Service Kasara</t>
  </si>
  <si>
    <t>Muranga ATM</t>
  </si>
  <si>
    <t>Direct Drs Inward Unpaid Fee</t>
  </si>
  <si>
    <t>Bata Shoe Hotel</t>
  </si>
  <si>
    <t>Magunas Supermarket</t>
  </si>
  <si>
    <t>KRA PG Doemstic Tax</t>
  </si>
  <si>
    <t>CheckOff-Pay SCUST</t>
  </si>
  <si>
    <t>Nyahururu ATM</t>
  </si>
  <si>
    <t>Salary Comm Pensions Department</t>
  </si>
  <si>
    <t>Ex-Duty Pension Excise Duty</t>
  </si>
  <si>
    <t>Batch Debits Direct Debit UNPD Comm</t>
  </si>
  <si>
    <t>Batch Debits Direct Debit UNPD EXD</t>
  </si>
  <si>
    <t>Cannon ATM</t>
  </si>
  <si>
    <r>
      <rPr>
        <rFont val="Montserrat"/>
      </rPr>
      <t>Co-operative Bank (</t>
    </r>
    <r>
      <rPr>
        <rFont val="Montserrat"/>
        <strike/>
        <color rgb="FFD9D9D9"/>
      </rPr>
      <t>0110300290</t>
    </r>
    <r>
      <rPr>
        <rFont val="Montserrat"/>
      </rPr>
      <t>3300)</t>
    </r>
  </si>
  <si>
    <r>
      <rPr>
        <rFont val="Montserrat"/>
      </rPr>
      <t>Co-operative Bank (</t>
    </r>
    <r>
      <rPr>
        <rFont val="Montserrat"/>
        <strike/>
        <color rgb="FFD9D9D9"/>
      </rPr>
      <t>0110916050</t>
    </r>
    <r>
      <rPr>
        <rFont val="Montserrat"/>
      </rPr>
      <t>6900)</t>
    </r>
  </si>
  <si>
    <t xml:space="preserve">Magunas </t>
  </si>
  <si>
    <t>Kangemi ATM</t>
  </si>
  <si>
    <t>ATM Commision Fee</t>
  </si>
  <si>
    <t>ATM Excise Duty Fee</t>
  </si>
  <si>
    <t>ATM Commission Fee</t>
  </si>
  <si>
    <t>Maint Fee Haba na Haba</t>
  </si>
  <si>
    <t>Indarea ATM</t>
  </si>
  <si>
    <t>Mombasard ATM</t>
  </si>
  <si>
    <t>NIXOMB Limited</t>
  </si>
  <si>
    <t>Naivas Capital Centre</t>
  </si>
  <si>
    <t>Langata ATM</t>
  </si>
  <si>
    <t>Naivas</t>
  </si>
  <si>
    <t>Bata Capital Centre</t>
  </si>
  <si>
    <t>Debit Card Annual Fee</t>
  </si>
  <si>
    <t>Excise Duty</t>
  </si>
  <si>
    <r>
      <rPr>
        <rFont val="Montserrat"/>
      </rPr>
      <t>Equity Bank (</t>
    </r>
    <r>
      <rPr>
        <rFont val="Montserrat"/>
        <strike/>
        <color rgb="FFD9D9D9"/>
      </rPr>
      <t>118028331</t>
    </r>
    <r>
      <rPr>
        <rFont val="Montserrat"/>
      </rPr>
      <t>9666)</t>
    </r>
  </si>
  <si>
    <t>Sent Money</t>
  </si>
  <si>
    <t>Transfer of Funds Charge</t>
  </si>
  <si>
    <t>Paybill Charge</t>
  </si>
  <si>
    <t xml:space="preserve">Airtime </t>
  </si>
  <si>
    <t>Other Expense</t>
  </si>
  <si>
    <t>Citam</t>
  </si>
  <si>
    <t>Riara University</t>
  </si>
  <si>
    <t>Fuel</t>
  </si>
  <si>
    <t>Nairobi Water Acc No: 5035608</t>
  </si>
  <si>
    <t>Equity Acc No: 1280299019649</t>
  </si>
  <si>
    <t>Life Ministry</t>
  </si>
  <si>
    <t>Transntion Sacco</t>
  </si>
  <si>
    <t>Equity Acc No: 0010299985563</t>
  </si>
  <si>
    <t>Nairobi Water Acc No: 5174846</t>
  </si>
  <si>
    <t>Nairobi Water Acc No: 5221137</t>
  </si>
  <si>
    <t>Nairobi Water Acc No: 5105387</t>
  </si>
  <si>
    <t>Unitas Sacco</t>
  </si>
  <si>
    <t>Faulu</t>
  </si>
  <si>
    <t>Muranga Water Sanitation Acc No:25975</t>
  </si>
  <si>
    <t>NCBA Bank Acc No: 8460820073</t>
  </si>
  <si>
    <t>Muthokinju Githurai</t>
  </si>
  <si>
    <t>IM Bank Acc no:286738</t>
  </si>
  <si>
    <t>Equity Acc No: 455926</t>
  </si>
  <si>
    <t>Airtime</t>
  </si>
  <si>
    <t>Benedito Complex</t>
  </si>
  <si>
    <t>KCB Acc No:31934K</t>
  </si>
  <si>
    <t>Other Expenses</t>
  </si>
  <si>
    <t>Muthokinju Muranga</t>
  </si>
  <si>
    <t>Equity Acc No: 867329</t>
  </si>
  <si>
    <t>Family Bank Acc No: 5644813</t>
  </si>
  <si>
    <t>KCB Acc No: 7863989</t>
  </si>
  <si>
    <t>Equity Paybill Acc No: 437921</t>
  </si>
  <si>
    <t>Mumbi Pharmacy</t>
  </si>
  <si>
    <t>Absa Acc: 2029491731</t>
  </si>
  <si>
    <t>Nairobi City County Revenue</t>
  </si>
  <si>
    <t>Cyber</t>
  </si>
  <si>
    <t>Equity Acc NO:867329</t>
  </si>
  <si>
    <t>Nairobi Water Acc No:5035608</t>
  </si>
  <si>
    <t>Nairobi Water Acc No:5174846</t>
  </si>
  <si>
    <t>Geminia Insurance</t>
  </si>
  <si>
    <t>Momart Hardware</t>
  </si>
  <si>
    <t>Nairobi Water Acc No:5105387</t>
  </si>
  <si>
    <t>Caroline Githogori</t>
  </si>
  <si>
    <t>Payment to Rozana Enterprises</t>
  </si>
  <si>
    <t>Airtime Purchase</t>
  </si>
  <si>
    <t>IM Bank Acc no:500550</t>
  </si>
  <si>
    <t>Nairobi Water Acc No:5221137</t>
  </si>
  <si>
    <t>Razzana Hotel</t>
  </si>
  <si>
    <t xml:space="preserve">Citam </t>
  </si>
  <si>
    <t>Nairobi Water ACC No:5105387</t>
  </si>
  <si>
    <t>Afrodip Collection</t>
  </si>
  <si>
    <t>Muranga County</t>
  </si>
  <si>
    <t>Enala Kenya Limited</t>
  </si>
  <si>
    <t>Peak Leaders Hotel</t>
  </si>
  <si>
    <t>City Gava Foods</t>
  </si>
  <si>
    <t>Mjengo Electricals</t>
  </si>
  <si>
    <t>ATM/ Mpesa Witthdrawal</t>
  </si>
  <si>
    <r>
      <rPr>
        <rFont val="Montserrat"/>
        <b/>
        <sz val="10.0"/>
      </rPr>
      <t>Co-operative Bank (</t>
    </r>
    <r>
      <rPr>
        <rFont val="Montserrat"/>
        <b/>
        <strike/>
        <color rgb="FFD9D9D9"/>
        <sz val="10.0"/>
      </rPr>
      <t>0112500290</t>
    </r>
    <r>
      <rPr>
        <rFont val="Montserrat"/>
        <b/>
        <sz val="10.0"/>
      </rPr>
      <t>3300)</t>
    </r>
  </si>
  <si>
    <t>DDI Refernce</t>
  </si>
  <si>
    <t>Cash Withdrawn</t>
  </si>
  <si>
    <t>ACHID/O/NCP/000004637096</t>
  </si>
  <si>
    <t>Safe Custody SCUST</t>
  </si>
  <si>
    <t>KRA PG DOMESTIC TAX</t>
  </si>
  <si>
    <t>Mentor Sacco</t>
  </si>
  <si>
    <t xml:space="preserve">DDI Reference </t>
  </si>
  <si>
    <t>Royal Gardens Gateway</t>
  </si>
  <si>
    <r>
      <rPr>
        <rFont val="Montserrat"/>
        <b/>
      </rPr>
      <t>Co-operative Bank (</t>
    </r>
    <r>
      <rPr>
        <rFont val="Montserrat"/>
        <b/>
        <strike/>
        <color rgb="FFD9D9D9"/>
      </rPr>
      <t>0110300290</t>
    </r>
    <r>
      <rPr>
        <rFont val="Montserrat"/>
        <b/>
      </rPr>
      <t>3300)</t>
    </r>
  </si>
  <si>
    <t>Henry Gikonyo Mwagi</t>
  </si>
  <si>
    <t>Recovery  01103002903300-01143002903300</t>
  </si>
  <si>
    <r>
      <rPr>
        <rFont val="Montserrat"/>
        <b/>
      </rPr>
      <t>Co-operative Bank (</t>
    </r>
    <r>
      <rPr>
        <rFont val="Montserrat"/>
        <b/>
        <strike/>
        <color rgb="FFD9D9D9"/>
      </rPr>
      <t>0110916050</t>
    </r>
    <r>
      <rPr>
        <rFont val="Montserrat"/>
        <b/>
      </rPr>
      <t>6900)</t>
    </r>
  </si>
  <si>
    <t>Transfer to Mpesa</t>
  </si>
  <si>
    <t>Transaction Fee</t>
  </si>
  <si>
    <t>Naomi Wanjiru</t>
  </si>
  <si>
    <t>1.281.6</t>
  </si>
  <si>
    <t>Cash Withdrwan</t>
  </si>
  <si>
    <r>
      <rPr>
        <rFont val="Montserrat"/>
        <b/>
      </rPr>
      <t>Equity Bank (</t>
    </r>
    <r>
      <rPr>
        <rFont val="Montserrat"/>
        <b/>
        <strike/>
        <color rgb="FFD9D9D9"/>
      </rPr>
      <t>118028331</t>
    </r>
    <r>
      <rPr>
        <rFont val="Montserrat"/>
        <b/>
      </rPr>
      <t>9666)</t>
    </r>
  </si>
  <si>
    <t>Transaction Cost</t>
  </si>
  <si>
    <t>Others</t>
  </si>
  <si>
    <t>Muranga Water Acc No: 25975</t>
  </si>
  <si>
    <t>Muranga Water Acc No: 152600700</t>
  </si>
  <si>
    <t xml:space="preserve">Biashara Sacco </t>
  </si>
  <si>
    <t>Co-operative Bank Money Transfer Acc. 01103002903300</t>
  </si>
  <si>
    <t>KRA Nairobi Revenue</t>
  </si>
  <si>
    <t>Equity Acc No:437291</t>
  </si>
  <si>
    <t>Equity Acc No:244903</t>
  </si>
  <si>
    <t>Cash Withdrawal</t>
  </si>
  <si>
    <t>Falcon Heights</t>
  </si>
  <si>
    <t>Nairobi County Revenue Acc No: 268105</t>
  </si>
  <si>
    <t>Nairobi County Revenue Acc No: 268104</t>
  </si>
  <si>
    <t>Money Sent</t>
  </si>
  <si>
    <t>Muranga Water Acc No: 25976</t>
  </si>
  <si>
    <r>
      <rPr>
        <rFont val="Montserrat"/>
        <sz val="10.0"/>
      </rPr>
      <t>Co-operative Bank (</t>
    </r>
    <r>
      <rPr>
        <rFont val="Montserrat"/>
        <strike/>
        <color rgb="FFD9D9D9"/>
        <sz val="10.0"/>
      </rPr>
      <t>0112500290</t>
    </r>
    <r>
      <rPr>
        <rFont val="Montserrat"/>
        <sz val="10.0"/>
      </rPr>
      <t>3300)</t>
    </r>
  </si>
  <si>
    <t>Credit Alert CRG</t>
  </si>
  <si>
    <t>TRF FRM STAFF CURR</t>
  </si>
  <si>
    <t>TRF SELF</t>
  </si>
  <si>
    <t>Transfer To Mpesa</t>
  </si>
  <si>
    <t>Credit CRG Alert</t>
  </si>
  <si>
    <t>Credit CRG Excise Alert</t>
  </si>
  <si>
    <t>Creddit CRG Excise Duty</t>
  </si>
  <si>
    <t>Transfer from mpesa</t>
  </si>
  <si>
    <r>
      <rPr>
        <rFont val="Montserrat"/>
      </rPr>
      <t>Co-operative Bank (</t>
    </r>
    <r>
      <rPr>
        <rFont val="Montserrat"/>
        <strike/>
        <color rgb="FFD9D9D9"/>
      </rPr>
      <t>0110300290</t>
    </r>
    <r>
      <rPr>
        <rFont val="Montserrat"/>
      </rPr>
      <t>3300)</t>
    </r>
  </si>
  <si>
    <t>TRF From Hekima</t>
  </si>
  <si>
    <t>TRF To Hekima</t>
  </si>
  <si>
    <t>Keneth Mwangi</t>
  </si>
  <si>
    <r>
      <rPr>
        <rFont val="Montserrat"/>
      </rPr>
      <t>Co-operative Bank (</t>
    </r>
    <r>
      <rPr>
        <rFont val="Montserrat"/>
        <strike/>
        <color rgb="FFD9D9D9"/>
      </rPr>
      <t>0110916050</t>
    </r>
    <r>
      <rPr>
        <rFont val="Montserrat"/>
      </rPr>
      <t>6900)</t>
    </r>
  </si>
  <si>
    <t>Cash Withdrawm</t>
  </si>
  <si>
    <r>
      <rPr>
        <rFont val="Montserrat"/>
      </rPr>
      <t>Equity Bank (</t>
    </r>
    <r>
      <rPr>
        <rFont val="Montserrat"/>
        <strike/>
        <color rgb="FFD9D9D9"/>
      </rPr>
      <t>118028331</t>
    </r>
    <r>
      <rPr>
        <rFont val="Montserrat"/>
      </rPr>
      <t>9666)</t>
    </r>
  </si>
  <si>
    <t xml:space="preserve">KPLC Acc No: 14104403929
</t>
  </si>
  <si>
    <t xml:space="preserve">KPLC Acc No: 04220143442
</t>
  </si>
  <si>
    <t>KPLC Acc No: 14283105881</t>
  </si>
  <si>
    <t>KPLC Acc No: 54602093384</t>
  </si>
  <si>
    <t>KPLC Acc No 1265085129</t>
  </si>
  <si>
    <t>Nairobi Water Acc No: 5017970</t>
  </si>
  <si>
    <t>Family Bank Acc No: 037000001813</t>
  </si>
  <si>
    <t>KRA  2020230002687454</t>
  </si>
  <si>
    <t>KRA   2020230002844845</t>
  </si>
  <si>
    <t>KRA  2020230003151030</t>
  </si>
  <si>
    <t xml:space="preserve">KRA  2020230003621621
</t>
  </si>
  <si>
    <t xml:space="preserve">KRA  2020230003621638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</si>
</sst>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sz val="10.0"/>
      <color rgb="FFFF5722"/>
      <name val="Montserrat"/>
    </font>
    <font>
      <b/>
      <sz val="25.0"/>
      <color rgb="FF00FF00"/>
      <name val="Montserrat"/>
    </font>
    <font>
      <sz val="25.0"/>
      <color rgb="FFFF5722"/>
      <name val="Montserrat"/>
    </font>
    <font>
      <sz val="10.0"/>
      <name val="Montserrat"/>
    </font>
    <font>
      <b/>
      <sz val="12.0"/>
      <color rgb="FF666666"/>
      <name val="Montserrat"/>
    </font>
    <font>
      <sz val="10.0"/>
      <color rgb="FFFFFFFF"/>
      <name val="Montserrat"/>
    </font>
    <font>
      <name val="Montserrat"/>
    </font>
    <font>
      <b/>
      <name val="Montserrat"/>
    </font>
    <font>
      <b/>
      <color rgb="FF000000"/>
      <name val="Montserrat"/>
    </font>
    <font>
      <b/>
      <name val="Arial"/>
    </font>
    <font>
      <name val="Arial"/>
    </font>
    <font>
      <b/>
      <sz val="10.0"/>
      <color rgb="FFFFFFFF"/>
      <name val="Montserrat"/>
    </font>
    <font>
      <b/>
      <sz val="25.0"/>
      <color rgb="FFFF5722"/>
      <name val="Montserrat"/>
    </font>
    <font>
      <b/>
      <sz val="10.0"/>
      <color rgb="FF000000"/>
      <name val="Montserrat"/>
    </font>
    <font>
      <b/>
      <sz val="10.0"/>
      <name val="Montserrat"/>
    </font>
    <font>
      <b/>
    </font>
    <font/>
  </fonts>
  <fills count="6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center" vertical="top"/>
    </xf>
    <xf borderId="0" fillId="0" fontId="5" numFmtId="0" xfId="0" applyAlignment="1" applyFont="1">
      <alignment horizontal="left" readingOrder="0" vertical="top"/>
    </xf>
    <xf borderId="0" fillId="0" fontId="4" numFmtId="0" xfId="0" applyAlignment="1" applyFont="1">
      <alignment horizontal="center" vertical="center"/>
    </xf>
    <xf borderId="0" fillId="2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vertical="bottom"/>
    </xf>
    <xf borderId="0" fillId="3" fontId="8" numFmtId="0" xfId="0" applyAlignment="1" applyFill="1" applyFont="1">
      <alignment readingOrder="0" vertical="bottom"/>
    </xf>
    <xf borderId="0" fillId="3" fontId="9" numFmtId="3" xfId="0" applyAlignment="1" applyFont="1" applyNumberFormat="1">
      <alignment horizontal="right" readingOrder="0" vertical="bottom"/>
    </xf>
    <xf borderId="0" fillId="4" fontId="10" numFmtId="0" xfId="0" applyAlignment="1" applyFill="1" applyFont="1">
      <alignment readingOrder="0" vertical="bottom"/>
    </xf>
    <xf borderId="0" fillId="4" fontId="9" numFmtId="0" xfId="0" applyAlignment="1" applyFont="1">
      <alignment readingOrder="0" vertical="bottom"/>
    </xf>
    <xf borderId="0" fillId="3" fontId="10" numFmtId="0" xfId="0" applyAlignment="1" applyFont="1">
      <alignment readingOrder="0" vertical="bottom"/>
    </xf>
    <xf borderId="0" fillId="3" fontId="9" numFmtId="0" xfId="0" applyAlignment="1" applyFont="1">
      <alignment readingOrder="0" vertical="bottom"/>
    </xf>
    <xf borderId="0" fillId="4" fontId="11" numFmtId="0" xfId="0" applyAlignment="1" applyFont="1">
      <alignment readingOrder="0" vertical="bottom"/>
    </xf>
    <xf borderId="0" fillId="3" fontId="8" numFmtId="0" xfId="0" applyAlignment="1" applyFont="1">
      <alignment vertical="bottom"/>
    </xf>
    <xf borderId="0" fillId="3" fontId="11" numFmtId="3" xfId="0" applyAlignment="1" applyFont="1" applyNumberFormat="1">
      <alignment vertical="bottom"/>
    </xf>
    <xf borderId="0" fillId="2" fontId="6" numFmtId="0" xfId="0" applyAlignment="1" applyFont="1">
      <alignment horizontal="left" readingOrder="0" vertical="center"/>
    </xf>
    <xf borderId="0" fillId="3" fontId="7" numFmtId="0" xfId="0" applyAlignment="1" applyFont="1">
      <alignment readingOrder="0" vertical="bottom"/>
    </xf>
    <xf borderId="0" fillId="3" fontId="9" numFmtId="0" xfId="0" applyAlignment="1" applyFont="1">
      <alignment vertical="bottom"/>
    </xf>
    <xf borderId="0" fillId="3" fontId="9" numFmtId="3" xfId="0" applyAlignment="1" applyFont="1" applyNumberFormat="1">
      <alignment horizontal="left" readingOrder="0" vertical="bottom"/>
    </xf>
    <xf borderId="0" fillId="4" fontId="11" numFmtId="0" xfId="0" applyAlignment="1" applyFont="1">
      <alignment vertical="bottom"/>
    </xf>
    <xf borderId="0" fillId="4" fontId="9" numFmtId="0" xfId="0" applyAlignment="1" applyFont="1">
      <alignment vertical="bottom"/>
    </xf>
    <xf borderId="0" fillId="4" fontId="9" numFmtId="3" xfId="0" applyAlignment="1" applyFont="1" applyNumberFormat="1">
      <alignment horizontal="left" readingOrder="0" vertical="bottom"/>
    </xf>
    <xf borderId="0" fillId="3" fontId="11" numFmtId="0" xfId="0" applyAlignment="1" applyFont="1">
      <alignment vertical="bottom"/>
    </xf>
    <xf borderId="0" fillId="3" fontId="9" numFmtId="3" xfId="0" applyAlignment="1" applyFont="1" applyNumberFormat="1">
      <alignment horizontal="left" readingOrder="0"/>
    </xf>
    <xf borderId="0" fillId="0" fontId="7" numFmtId="0" xfId="0" applyAlignment="1" applyFont="1">
      <alignment horizontal="center" readingOrder="0" vertical="bottom"/>
    </xf>
    <xf borderId="0" fillId="3" fontId="11" numFmtId="0" xfId="0" applyAlignment="1" applyFont="1">
      <alignment horizontal="left" vertical="bottom"/>
    </xf>
    <xf borderId="0" fillId="4" fontId="11" numFmtId="0" xfId="0" applyAlignment="1" applyFont="1">
      <alignment horizontal="left" vertical="bottom"/>
    </xf>
    <xf borderId="0" fillId="3" fontId="11" numFmtId="0" xfId="0" applyAlignment="1" applyFont="1">
      <alignment vertical="bottom"/>
    </xf>
    <xf borderId="0" fillId="3" fontId="9" numFmtId="3" xfId="0" applyAlignment="1" applyFont="1" applyNumberFormat="1">
      <alignment horizontal="left" vertical="bottom"/>
    </xf>
    <xf borderId="0" fillId="2" fontId="12" numFmtId="0" xfId="0" applyAlignment="1" applyFont="1">
      <alignment horizontal="left" readingOrder="0" vertical="center"/>
    </xf>
    <xf borderId="0" fillId="3" fontId="8" numFmtId="3" xfId="0" applyAlignment="1" applyFont="1" applyNumberFormat="1">
      <alignment horizontal="left" readingOrder="0" vertical="bottom"/>
    </xf>
    <xf borderId="0" fillId="4" fontId="8" numFmtId="0" xfId="0" applyAlignment="1" applyFont="1">
      <alignment horizontal="left" readingOrder="0" vertical="bottom"/>
    </xf>
    <xf borderId="0" fillId="3" fontId="8" numFmtId="0" xfId="0" applyAlignment="1" applyFont="1">
      <alignment horizontal="left" readingOrder="0" vertical="bottom"/>
    </xf>
    <xf borderId="0" fillId="4" fontId="8" numFmtId="3" xfId="0" applyAlignment="1" applyFont="1" applyNumberFormat="1">
      <alignment horizontal="left" readingOrder="0" vertical="bottom"/>
    </xf>
    <xf borderId="0" fillId="3" fontId="9" numFmtId="0" xfId="0" applyAlignment="1" applyFont="1">
      <alignment vertical="bottom"/>
    </xf>
    <xf borderId="0" fillId="4" fontId="9" numFmtId="0" xfId="0" applyAlignment="1" applyFont="1">
      <alignment vertical="bottom"/>
    </xf>
    <xf borderId="0" fillId="4" fontId="9" numFmtId="3" xfId="0" applyAlignment="1" applyFont="1" applyNumberFormat="1">
      <alignment vertical="bottom"/>
    </xf>
    <xf borderId="0" fillId="4" fontId="8" numFmtId="3" xfId="0" applyAlignment="1" applyFont="1" applyNumberFormat="1">
      <alignment vertical="bottom"/>
    </xf>
    <xf borderId="0" fillId="3" fontId="9" numFmtId="3" xfId="0" applyAlignment="1" applyFont="1" applyNumberFormat="1">
      <alignment readingOrder="0" vertical="bottom"/>
    </xf>
    <xf borderId="0" fillId="3" fontId="8" numFmtId="3" xfId="0" applyAlignment="1" applyFont="1" applyNumberFormat="1">
      <alignment vertical="bottom"/>
    </xf>
    <xf borderId="0" fillId="4" fontId="9" numFmtId="3" xfId="0" applyAlignment="1" applyFont="1" applyNumberFormat="1">
      <alignment readingOrder="0" vertical="bottom"/>
    </xf>
    <xf borderId="0" fillId="3" fontId="8" numFmtId="0" xfId="0" applyAlignment="1" applyFont="1">
      <alignment vertical="bottom"/>
    </xf>
    <xf borderId="0" fillId="3" fontId="9" numFmtId="3" xfId="0" applyAlignment="1" applyFont="1" applyNumberFormat="1">
      <alignment horizontal="right" readingOrder="0"/>
    </xf>
    <xf borderId="0" fillId="3" fontId="8" numFmtId="3" xfId="0" applyAlignment="1" applyFont="1" applyNumberFormat="1">
      <alignment horizontal="right" readingOrder="0" vertical="bottom"/>
    </xf>
    <xf borderId="0" fillId="4" fontId="8" numFmtId="0" xfId="0" applyAlignment="1" applyFont="1">
      <alignment vertical="bottom"/>
    </xf>
    <xf borderId="0" fillId="4" fontId="8" numFmtId="0" xfId="0" applyAlignment="1" applyFont="1">
      <alignment readingOrder="0" vertical="bottom"/>
    </xf>
    <xf borderId="0" fillId="4" fontId="8" numFmtId="3" xfId="0" applyAlignment="1" applyFont="1" applyNumberFormat="1">
      <alignment horizontal="right" readingOrder="0" vertical="bottom"/>
    </xf>
    <xf borderId="0" fillId="4" fontId="8" numFmtId="3" xfId="0" applyAlignment="1" applyFont="1" applyNumberFormat="1">
      <alignment readingOrder="0" vertical="bottom"/>
    </xf>
    <xf borderId="0" fillId="3" fontId="8" numFmtId="3" xfId="0" applyAlignment="1" applyFont="1" applyNumberFormat="1">
      <alignment readingOrder="0" vertical="bottom"/>
    </xf>
    <xf borderId="0" fillId="4" fontId="10" numFmtId="3" xfId="0" applyAlignment="1" applyFont="1" applyNumberFormat="1">
      <alignment readingOrder="0" vertical="bottom"/>
    </xf>
    <xf borderId="0" fillId="3" fontId="9" numFmtId="3" xfId="0" applyAlignment="1" applyFont="1" applyNumberFormat="1">
      <alignment horizontal="right" vertical="bottom"/>
    </xf>
    <xf borderId="0" fillId="0" fontId="13" numFmtId="0" xfId="0" applyAlignment="1" applyFont="1">
      <alignment horizontal="left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readingOrder="0" vertical="center"/>
    </xf>
    <xf borderId="0" fillId="0" fontId="14" numFmtId="0" xfId="0" applyAlignment="1" applyFont="1">
      <alignment horizontal="left" readingOrder="0" vertical="center"/>
    </xf>
    <xf borderId="0" fillId="0" fontId="14" numFmtId="3" xfId="0" applyAlignment="1" applyFont="1" applyNumberFormat="1">
      <alignment horizontal="left" readingOrder="0" vertical="center"/>
    </xf>
    <xf borderId="0" fillId="4" fontId="9" numFmtId="3" xfId="0" applyAlignment="1" applyFont="1" applyNumberFormat="1">
      <alignment horizontal="left" vertical="bottom"/>
    </xf>
    <xf borderId="0" fillId="3" fontId="9" numFmtId="0" xfId="0" applyAlignment="1" applyFont="1">
      <alignment horizontal="left" vertical="bottom"/>
    </xf>
    <xf borderId="0" fillId="4" fontId="9" numFmtId="0" xfId="0" applyAlignment="1" applyFont="1">
      <alignment horizontal="left" vertical="bottom"/>
    </xf>
    <xf borderId="0" fillId="0" fontId="8" numFmtId="3" xfId="0" applyAlignment="1" applyFont="1" applyNumberFormat="1">
      <alignment horizontal="left" readingOrder="0"/>
    </xf>
    <xf borderId="0" fillId="0" fontId="8" numFmtId="0" xfId="0" applyAlignment="1" applyFont="1">
      <alignment horizontal="left" readingOrder="0"/>
    </xf>
    <xf borderId="0" fillId="4" fontId="9" numFmtId="0" xfId="0" applyAlignment="1" applyFont="1">
      <alignment horizontal="left" readingOrder="0" vertical="bottom"/>
    </xf>
    <xf borderId="0" fillId="3" fontId="9" numFmtId="0" xfId="0" applyAlignment="1" applyFont="1">
      <alignment horizontal="left" readingOrder="0" vertical="bottom"/>
    </xf>
    <xf borderId="0" fillId="0" fontId="15" numFmtId="0" xfId="0" applyAlignment="1" applyFont="1">
      <alignment horizontal="left" readingOrder="0" vertical="center"/>
    </xf>
    <xf borderId="0" fillId="5" fontId="7" numFmtId="0" xfId="0" applyAlignment="1" applyFill="1" applyFont="1">
      <alignment horizontal="left" readingOrder="0"/>
    </xf>
    <xf borderId="0" fillId="4" fontId="9" numFmtId="0" xfId="0" applyAlignment="1" applyFont="1">
      <alignment horizontal="left"/>
    </xf>
    <xf borderId="0" fillId="4" fontId="9" numFmtId="0" xfId="0" applyAlignment="1" applyFont="1">
      <alignment horizontal="left" readingOrder="0"/>
    </xf>
    <xf borderId="0" fillId="3" fontId="7" numFmtId="0" xfId="0" applyAlignment="1" applyFont="1">
      <alignment horizontal="left"/>
    </xf>
    <xf borderId="0" fillId="3" fontId="9" numFmtId="0" xfId="0" applyAlignment="1" applyFont="1">
      <alignment horizontal="left"/>
    </xf>
    <xf borderId="0" fillId="3" fontId="9" numFmtId="0" xfId="0" applyAlignment="1" applyFont="1">
      <alignment horizontal="left" readingOrder="0"/>
    </xf>
    <xf borderId="0" fillId="4" fontId="7" numFmtId="0" xfId="0" applyAlignment="1" applyFont="1">
      <alignment horizontal="left"/>
    </xf>
    <xf borderId="0" fillId="3" fontId="7" numFmtId="0" xfId="0" applyAlignment="1" applyFont="1">
      <alignment horizontal="left"/>
    </xf>
    <xf borderId="0" fillId="3" fontId="9" numFmtId="0" xfId="0" applyAlignment="1" applyFont="1">
      <alignment horizontal="left"/>
    </xf>
    <xf borderId="0" fillId="4" fontId="9" numFmtId="3" xfId="0" applyAlignment="1" applyFont="1" applyNumberFormat="1">
      <alignment horizontal="left" readingOrder="0"/>
    </xf>
    <xf borderId="0" fillId="0" fontId="15" numFmtId="0" xfId="0" applyAlignment="1" applyFont="1">
      <alignment horizontal="left" readingOrder="0"/>
    </xf>
    <xf borderId="0" fillId="5" fontId="7" numFmtId="0" xfId="0" applyAlignment="1" applyFont="1">
      <alignment vertical="bottom"/>
    </xf>
    <xf borderId="0" fillId="4" fontId="11" numFmtId="0" xfId="0" applyAlignment="1" applyFont="1">
      <alignment vertical="bottom"/>
    </xf>
    <xf borderId="0" fillId="4" fontId="9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4" fontId="7" numFmtId="0" xfId="0" applyAlignment="1" applyFont="1">
      <alignment horizontal="left" readingOrder="0"/>
    </xf>
    <xf borderId="0" fillId="3" fontId="8" numFmtId="0" xfId="0" applyAlignment="1" applyFont="1">
      <alignment horizontal="left" readingOrder="0"/>
    </xf>
    <xf borderId="0" fillId="3" fontId="9" numFmtId="3" xfId="0" applyAlignment="1" applyFont="1" applyNumberFormat="1">
      <alignment vertical="bottom"/>
    </xf>
    <xf borderId="0" fillId="3" fontId="9" numFmtId="3" xfId="0" applyFont="1" applyNumberFormat="1"/>
    <xf borderId="0" fillId="4" fontId="9" numFmtId="3" xfId="0" applyFont="1" applyNumberFormat="1"/>
    <xf borderId="0" fillId="4" fontId="11" numFmtId="0" xfId="0" applyFont="1"/>
    <xf borderId="0" fillId="3" fontId="11" numFmtId="0" xfId="0" applyFont="1"/>
    <xf borderId="0" fillId="2" fontId="12" numFmtId="0" xfId="0" applyAlignment="1" applyFont="1">
      <alignment horizontal="center" readingOrder="0" vertical="center"/>
    </xf>
    <xf borderId="0" fillId="4" fontId="9" numFmtId="3" xfId="0" applyAlignment="1" applyFont="1" applyNumberFormat="1">
      <alignment readingOrder="0"/>
    </xf>
    <xf borderId="0" fillId="0" fontId="8" numFmtId="4" xfId="0" applyAlignment="1" applyFont="1" applyNumberFormat="1">
      <alignment horizontal="left" readingOrder="0"/>
    </xf>
    <xf borderId="0" fillId="0" fontId="14" numFmtId="4" xfId="0" applyAlignment="1" applyFont="1" applyNumberFormat="1">
      <alignment horizontal="left" readingOrder="0" vertical="center"/>
    </xf>
    <xf borderId="0" fillId="4" fontId="9" numFmtId="3" xfId="0" applyAlignment="1" applyFont="1" applyNumberFormat="1">
      <alignment horizontal="left"/>
    </xf>
    <xf borderId="0" fillId="3" fontId="9" numFmtId="0" xfId="0" applyFont="1"/>
    <xf borderId="0" fillId="4" fontId="9" numFmtId="0" xfId="0" applyFont="1"/>
    <xf borderId="0" fillId="0" fontId="16" numFmtId="0" xfId="0" applyFont="1"/>
    <xf borderId="0" fillId="4" fontId="9" numFmtId="0" xfId="0" applyFont="1"/>
    <xf borderId="0" fillId="4" fontId="9" numFmtId="0" xfId="0" applyAlignment="1" applyFont="1">
      <alignment readingOrder="0"/>
    </xf>
    <xf borderId="0" fillId="3" fontId="10" numFmtId="0" xfId="0" applyFont="1"/>
    <xf borderId="0" fillId="4" fontId="10" numFmtId="0" xfId="0" applyFont="1"/>
    <xf borderId="0" fillId="5" fontId="8" numFmtId="0" xfId="0" applyAlignment="1" applyFont="1">
      <alignment horizontal="left" readingOrder="0"/>
    </xf>
    <xf borderId="0" fillId="3" fontId="8" numFmtId="0" xfId="0" applyAlignment="1" applyFont="1">
      <alignment horizontal="left"/>
    </xf>
    <xf borderId="0" fillId="4" fontId="8" numFmtId="0" xfId="0" applyAlignment="1" applyFont="1">
      <alignment horizontal="left"/>
    </xf>
    <xf borderId="0" fillId="3" fontId="8" numFmtId="0" xfId="0" applyAlignment="1" applyFont="1">
      <alignment horizontal="left"/>
    </xf>
    <xf borderId="0" fillId="0" fontId="15" numFmtId="0" xfId="0" applyAlignment="1" applyFont="1">
      <alignment horizontal="left"/>
    </xf>
    <xf borderId="0" fillId="4" fontId="8" numFmtId="0" xfId="0" applyAlignment="1" applyFont="1">
      <alignment horizontal="left" readingOrder="0"/>
    </xf>
    <xf borderId="0" fillId="3" fontId="9" numFmtId="4" xfId="0" applyAlignment="1" applyFont="1" applyNumberFormat="1">
      <alignment horizontal="left" readingOrder="0"/>
    </xf>
    <xf borderId="0" fillId="4" fontId="9" numFmtId="4" xfId="0" applyAlignment="1" applyFont="1" applyNumberFormat="1">
      <alignment horizontal="left" readingOrder="0"/>
    </xf>
    <xf borderId="0" fillId="4" fontId="10" numFmtId="0" xfId="0" applyAlignment="1" applyFont="1">
      <alignment vertical="bottom"/>
    </xf>
    <xf borderId="0" fillId="0" fontId="17" numFmtId="3" xfId="0" applyAlignment="1" applyFont="1" applyNumberFormat="1">
      <alignment readingOrder="0"/>
    </xf>
    <xf borderId="0" fillId="3" fontId="10" numFmtId="0" xfId="0" applyAlignment="1" applyFont="1">
      <alignment vertical="bottom"/>
    </xf>
    <xf borderId="0" fillId="4" fontId="10" numFmtId="0" xfId="0" applyAlignment="1" applyFont="1">
      <alignment vertical="bottom"/>
    </xf>
    <xf borderId="0" fillId="4" fontId="10" numFmtId="0" xfId="0" applyFont="1"/>
    <xf borderId="0" fillId="4" fontId="10" numFmtId="4" xfId="0" applyAlignment="1" applyFont="1" applyNumberFormat="1">
      <alignment readingOrder="0" vertical="bottom"/>
    </xf>
    <xf borderId="0" fillId="3" fontId="10" numFmtId="3" xfId="0" applyAlignment="1" applyFont="1" applyNumberFormat="1">
      <alignment readingOrder="0" vertical="bottom"/>
    </xf>
    <xf borderId="0" fillId="3" fontId="10" numFmtId="0" xfId="0" applyAlignment="1" applyFont="1">
      <alignment vertical="bottom"/>
    </xf>
    <xf borderId="0" fillId="3" fontId="10" numFmtId="0" xfId="0" applyFont="1"/>
    <xf borderId="0" fillId="3" fontId="10" numFmtId="4" xfId="0" applyAlignment="1" applyFont="1" applyNumberFormat="1">
      <alignment readingOrder="0" vertical="bottom"/>
    </xf>
    <xf borderId="0" fillId="0" fontId="16" numFmtId="3" xfId="0" applyAlignment="1" applyFont="1" applyNumberFormat="1">
      <alignment readingOrder="0"/>
    </xf>
    <xf borderId="0" fillId="0" fontId="4" numFmtId="0" xfId="0" applyAlignment="1" applyFont="1">
      <alignment horizontal="center" readingOrder="0" vertical="bottom"/>
    </xf>
    <xf borderId="0" fillId="3" fontId="11" numFmtId="3" xfId="0" applyAlignment="1" applyFont="1" applyNumberFormat="1">
      <alignment readingOrder="0" vertical="bottom"/>
    </xf>
    <xf borderId="0" fillId="4" fontId="11" numFmtId="3" xfId="0" applyAlignment="1" applyFont="1" applyNumberFormat="1">
      <alignment vertical="bottom"/>
    </xf>
    <xf borderId="0" fillId="4" fontId="11" numFmtId="3" xfId="0" applyAlignment="1" applyFont="1" applyNumberFormat="1">
      <alignment readingOrder="0" vertical="bottom"/>
    </xf>
    <xf borderId="0" fillId="3" fontId="11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3">
    <tableStyle count="2" pivot="0" name="2024 Total Expenses-style">
      <tableStyleElement dxfId="1" type="firstRowStripe"/>
      <tableStyleElement dxfId="2" type="secondRowStripe"/>
    </tableStyle>
    <tableStyle count="2" pivot="0" name="2025 Renovations Expenditure-style">
      <tableStyleElement dxfId="1" type="firstRowStripe"/>
      <tableStyleElement dxfId="2" type="secondRowStripe"/>
    </tableStyle>
    <tableStyle count="2" pivot="0" name="2024 Renovations Expenditure-style">
      <tableStyleElement dxfId="1" type="firstRowStripe"/>
      <tableStyleElement dxfId="2" type="secondRowStripe"/>
    </tableStyle>
    <tableStyle count="2" pivot="0" name="2023 Renovations Expenditure-style">
      <tableStyleElement dxfId="1" type="firstRowStripe"/>
      <tableStyleElement dxfId="2" type="secondRowStripe"/>
    </tableStyle>
    <tableStyle count="2" pivot="0" name="2025 Electricity Expenditure-style">
      <tableStyleElement dxfId="1" type="firstRowStripe"/>
      <tableStyleElement dxfId="2" type="secondRowStripe"/>
    </tableStyle>
    <tableStyle count="2" pivot="0" name="KRA Payments-style">
      <tableStyleElement dxfId="1" type="firstRowStripe"/>
      <tableStyleElement dxfId="2" type="secondRowStripe"/>
    </tableStyle>
    <tableStyle count="2" pivot="0" name="2024 Electricity Expenditure-style">
      <tableStyleElement dxfId="1" type="firstRowStripe"/>
      <tableStyleElement dxfId="2" type="secondRowStripe"/>
    </tableStyle>
    <tableStyle count="2" pivot="0" name="2025-style">
      <tableStyleElement dxfId="1" type="firstRowStripe"/>
      <tableStyleElement dxfId="2" type="secondRowStripe"/>
    </tableStyle>
    <tableStyle count="2" pivot="0" name="2025-style 2">
      <tableStyleElement dxfId="1" type="firstRowStripe"/>
      <tableStyleElement dxfId="2" type="secondRowStripe"/>
    </tableStyle>
    <tableStyle count="2" pivot="0" name="2024-style">
      <tableStyleElement dxfId="1" type="firstRowStripe"/>
      <tableStyleElement dxfId="2" type="secondRowStripe"/>
    </tableStyle>
    <tableStyle count="2" pivot="0" name="2024-style 2">
      <tableStyleElement dxfId="1" type="firstRowStripe"/>
      <tableStyleElement dxfId="2" type="secondRowStripe"/>
    </tableStyle>
    <tableStyle count="2" pivot="0" name="2023-style">
      <tableStyleElement dxfId="1" type="firstRowStripe"/>
      <tableStyleElement dxfId="2" type="secondRowStripe"/>
    </tableStyle>
    <tableStyle count="2" pivot="0" name="2023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:C11" displayName="Table_1" name="Table_1" id="1">
  <tableColumns count="2">
    <tableColumn name="Column1" id="1"/>
    <tableColumn name="Column2" id="2"/>
  </tableColumns>
  <tableStyleInfo name="2024 Total Expenses-style" showColumnStripes="0" showFirstColumn="1" showLastColumn="1" showRowStripes="1"/>
</table>
</file>

<file path=xl/tables/table2.xml><?xml version="1.0" encoding="utf-8"?>
<table xmlns="http://schemas.openxmlformats.org/spreadsheetml/2006/main" headerRowCount="0" ref="B5:D17" displayName="Table_2" name="Table_2" id="2">
  <tableColumns count="3">
    <tableColumn name="Column1" id="1"/>
    <tableColumn name="Column2" id="2"/>
    <tableColumn name="Column3" id="3"/>
  </tableColumns>
  <tableStyleInfo name="2025 Renovations Expenditure-style" showColumnStripes="0" showFirstColumn="1" showLastColumn="1" showRowStripes="1"/>
</table>
</file>

<file path=xl/tables/table3.xml><?xml version="1.0" encoding="utf-8"?>
<table xmlns="http://schemas.openxmlformats.org/spreadsheetml/2006/main" headerRowCount="0" ref="B5:D17" displayName="Table_3" name="Table_3" id="3">
  <tableColumns count="3">
    <tableColumn name="Column1" id="1"/>
    <tableColumn name="Column2" id="2"/>
    <tableColumn name="Column3" id="3"/>
  </tableColumns>
  <tableStyleInfo name="2024 Renovations Expenditure-style" showColumnStripes="0" showFirstColumn="1" showLastColumn="1" showRowStripes="1"/>
</table>
</file>

<file path=xl/tables/table4.xml><?xml version="1.0" encoding="utf-8"?>
<table xmlns="http://schemas.openxmlformats.org/spreadsheetml/2006/main" headerRowCount="0" ref="B5:D17" displayName="Table_4" name="Table_4" id="4">
  <tableColumns count="3">
    <tableColumn name="Column1" id="1"/>
    <tableColumn name="Column2" id="2"/>
    <tableColumn name="Column3" id="3"/>
  </tableColumns>
  <tableStyleInfo name="2023 Renovations Expenditure-style" showColumnStripes="0" showFirstColumn="1" showLastColumn="1" showRowStripes="1"/>
</table>
</file>

<file path=xl/tables/table5.xml><?xml version="1.0" encoding="utf-8"?>
<table xmlns="http://schemas.openxmlformats.org/spreadsheetml/2006/main" headerRowCount="0" ref="B5:E64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2025 Electricity Expenditure-style" showColumnStripes="0" showFirstColumn="1" showLastColumn="1" showRowStripes="1"/>
</table>
</file>

<file path=xl/tables/table6.xml><?xml version="1.0" encoding="utf-8"?>
<table xmlns="http://schemas.openxmlformats.org/spreadsheetml/2006/main" headerRowCount="0" ref="B5:E94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KRA Payments-style" showColumnStripes="0" showFirstColumn="1" showLastColumn="1" showRowStripes="1"/>
</table>
</file>

<file path=xl/tables/table7.xml><?xml version="1.0" encoding="utf-8"?>
<table xmlns="http://schemas.openxmlformats.org/spreadsheetml/2006/main" headerRowCount="0" ref="B5:E107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2024 Electricity Expenditure-style" showColumnStripes="0" showFirstColumn="1" showLastColumn="1" showRowStripes="1"/>
</table>
</file>

<file path=xl/tables/table8.xml><?xml version="1.0" encoding="utf-8"?>
<table xmlns="http://schemas.openxmlformats.org/spreadsheetml/2006/main" headerRowCount="0" ref="B5:N59" displayName="Table_8" name="Table_8" id="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2025-style" showColumnStripes="0" showFirstColumn="1" showLastColumn="1" showRowStripes="1"/>
</table>
</file>

<file path=xl/tables/table9.xml><?xml version="1.0" encoding="utf-8"?>
<table xmlns="http://schemas.openxmlformats.org/spreadsheetml/2006/main" headerRowCount="0" ref="B60:N330" displayName="Table_9" name="Table_9" id="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2025-style 2" showColumnStripes="0" showFirstColumn="1" showLastColumn="1" showRowStripes="1"/>
</table>
</file>

<file path=xl/tables/table10.xml><?xml version="1.0" encoding="utf-8"?>
<table xmlns="http://schemas.openxmlformats.org/spreadsheetml/2006/main" headerRowCount="0" ref="B5:N100" displayName="Table_10" name="Table_10" id="1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2024-style" showColumnStripes="0" showFirstColumn="1" showLastColumn="1" showRowStripes="1"/>
</table>
</file>

<file path=xl/tables/table11.xml><?xml version="1.0" encoding="utf-8"?>
<table xmlns="http://schemas.openxmlformats.org/spreadsheetml/2006/main" headerRowCount="0" ref="B101:N463" displayName="Table_11" name="Table_11" id="1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2024-style 2" showColumnStripes="0" showFirstColumn="1" showLastColumn="1" showRowStripes="1"/>
</table>
</file>

<file path=xl/tables/table12.xml><?xml version="1.0" encoding="utf-8"?>
<table xmlns="http://schemas.openxmlformats.org/spreadsheetml/2006/main" headerRowCount="0" ref="B5:N27" displayName="Table_12" name="Table_12" id="1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2023-style" showColumnStripes="0" showFirstColumn="1" showLastColumn="1" showRowStripes="1"/>
</table>
</file>

<file path=xl/tables/table13.xml><?xml version="1.0" encoding="utf-8"?>
<table xmlns="http://schemas.openxmlformats.org/spreadsheetml/2006/main" headerRowCount="0" ref="B28:N369" displayName="Table_13" name="Table_13" id="1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2023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</cols>
  <sheetData>
    <row r="1" ht="70.5" customHeight="1">
      <c r="A1" s="1"/>
      <c r="B1" s="2" t="s">
        <v>0</v>
      </c>
    </row>
    <row r="2" ht="12.0" customHeight="1">
      <c r="A2" s="1"/>
      <c r="B2" s="3"/>
      <c r="C2" s="3"/>
    </row>
    <row r="3" ht="30.0" customHeight="1">
      <c r="A3" s="4"/>
      <c r="B3" s="5"/>
    </row>
    <row r="4" ht="24.0" customHeight="1">
      <c r="A4" s="6"/>
      <c r="B4" s="7" t="s">
        <v>1</v>
      </c>
      <c r="C4" s="7" t="s">
        <v>2</v>
      </c>
    </row>
    <row r="5" ht="19.5" customHeight="1">
      <c r="A5" s="8"/>
      <c r="B5" s="9" t="s">
        <v>3</v>
      </c>
      <c r="C5" s="10">
        <v>3744414.0</v>
      </c>
    </row>
    <row r="6" ht="19.5" customHeight="1">
      <c r="A6" s="8"/>
      <c r="B6" s="11" t="s">
        <v>4</v>
      </c>
      <c r="C6" s="12">
        <v>398100.0</v>
      </c>
    </row>
    <row r="7" ht="19.5" customHeight="1">
      <c r="A7" s="8"/>
      <c r="B7" s="13" t="s">
        <v>5</v>
      </c>
      <c r="C7" s="14">
        <v>22138.0</v>
      </c>
    </row>
    <row r="8" ht="19.5" customHeight="1">
      <c r="A8" s="8"/>
      <c r="B8" s="11" t="s">
        <v>6</v>
      </c>
      <c r="C8" s="12">
        <v>1188000.0</v>
      </c>
    </row>
    <row r="9" ht="19.5" customHeight="1">
      <c r="A9" s="8"/>
      <c r="B9" s="11" t="s">
        <v>7</v>
      </c>
      <c r="C9" s="12">
        <v>24000.0</v>
      </c>
    </row>
    <row r="10" ht="19.5" customHeight="1">
      <c r="A10" s="8"/>
      <c r="B10" s="15"/>
      <c r="C10" s="12"/>
    </row>
    <row r="11" ht="19.5" customHeight="1">
      <c r="A11" s="8"/>
      <c r="B11" s="16" t="s">
        <v>8</v>
      </c>
      <c r="C11" s="17">
        <f>sum(C5:C9)</f>
        <v>5376652</v>
      </c>
    </row>
  </sheetData>
  <mergeCells count="2">
    <mergeCell ref="B1:C1"/>
    <mergeCell ref="B3:C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25.13"/>
  </cols>
  <sheetData>
    <row r="1" ht="70.5" customHeight="1">
      <c r="A1" s="1"/>
      <c r="B1" s="2" t="s">
        <v>0</v>
      </c>
    </row>
    <row r="2" ht="12.0" customHeight="1">
      <c r="A2" s="1"/>
      <c r="B2" s="3"/>
      <c r="C2" s="3"/>
      <c r="D2" s="3"/>
    </row>
    <row r="3" ht="30.0" customHeight="1">
      <c r="A3" s="4"/>
      <c r="B3" s="5"/>
    </row>
    <row r="4" ht="24.0" customHeight="1">
      <c r="A4" s="6"/>
      <c r="B4" s="7" t="s">
        <v>9</v>
      </c>
      <c r="C4" s="7" t="s">
        <v>10</v>
      </c>
      <c r="D4" s="18" t="s">
        <v>2</v>
      </c>
    </row>
    <row r="5" ht="19.5" customHeight="1">
      <c r="A5" s="8"/>
      <c r="B5" s="19" t="s">
        <v>11</v>
      </c>
      <c r="C5" s="20" t="s">
        <v>12</v>
      </c>
      <c r="D5" s="21">
        <v>180389.0</v>
      </c>
    </row>
    <row r="6" ht="19.5" customHeight="1">
      <c r="A6" s="8"/>
      <c r="B6" s="22"/>
      <c r="C6" s="23" t="s">
        <v>13</v>
      </c>
      <c r="D6" s="24">
        <v>220648.0</v>
      </c>
    </row>
    <row r="7" ht="19.5" customHeight="1">
      <c r="A7" s="8"/>
      <c r="B7" s="25"/>
      <c r="C7" s="20" t="s">
        <v>14</v>
      </c>
      <c r="D7" s="21">
        <v>253397.0</v>
      </c>
    </row>
    <row r="8" ht="19.5" customHeight="1">
      <c r="A8" s="8"/>
      <c r="B8" s="22"/>
      <c r="C8" s="23" t="s">
        <v>15</v>
      </c>
      <c r="D8" s="26">
        <v>193994.0</v>
      </c>
    </row>
    <row r="9" ht="19.5" customHeight="1">
      <c r="A9" s="8"/>
      <c r="B9" s="25"/>
      <c r="C9" s="20" t="s">
        <v>16</v>
      </c>
      <c r="D9" s="26">
        <v>342634.0</v>
      </c>
    </row>
    <row r="10" ht="19.5" customHeight="1">
      <c r="A10" s="8"/>
      <c r="B10" s="22"/>
      <c r="C10" s="23" t="s">
        <v>17</v>
      </c>
      <c r="D10" s="26">
        <v>194848.0</v>
      </c>
    </row>
    <row r="11" ht="19.5" customHeight="1">
      <c r="A11" s="27"/>
      <c r="B11" s="25"/>
      <c r="C11" s="20" t="s">
        <v>18</v>
      </c>
      <c r="D11" s="28"/>
    </row>
    <row r="12" ht="19.5" customHeight="1">
      <c r="A12" s="8"/>
      <c r="B12" s="22"/>
      <c r="C12" s="23" t="s">
        <v>19</v>
      </c>
      <c r="D12" s="29"/>
    </row>
    <row r="13" ht="19.5" customHeight="1">
      <c r="A13" s="8"/>
      <c r="B13" s="25"/>
      <c r="C13" s="20" t="s">
        <v>20</v>
      </c>
      <c r="D13" s="28"/>
    </row>
    <row r="14" ht="19.5" customHeight="1">
      <c r="A14" s="8"/>
      <c r="B14" s="22"/>
      <c r="C14" s="23" t="s">
        <v>21</v>
      </c>
      <c r="D14" s="29"/>
    </row>
    <row r="15" ht="19.5" customHeight="1">
      <c r="A15" s="8"/>
      <c r="B15" s="25"/>
      <c r="C15" s="20" t="s">
        <v>22</v>
      </c>
      <c r="D15" s="28"/>
    </row>
    <row r="16" ht="19.5" customHeight="1">
      <c r="A16" s="8"/>
      <c r="B16" s="22"/>
      <c r="C16" s="23" t="s">
        <v>23</v>
      </c>
      <c r="D16" s="29"/>
    </row>
    <row r="17" ht="19.5" customHeight="1">
      <c r="A17" s="8"/>
      <c r="B17" s="16" t="s">
        <v>8</v>
      </c>
      <c r="C17" s="30"/>
      <c r="D17" s="31">
        <f>SUM(D5:D16)</f>
        <v>1385910</v>
      </c>
    </row>
  </sheetData>
  <mergeCells count="2">
    <mergeCell ref="B1:D1"/>
    <mergeCell ref="B3:D3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25.13"/>
  </cols>
  <sheetData>
    <row r="1" ht="70.5" customHeight="1">
      <c r="A1" s="1"/>
      <c r="B1" s="2" t="s">
        <v>0</v>
      </c>
    </row>
    <row r="2" ht="12.0" customHeight="1">
      <c r="A2" s="1"/>
      <c r="B2" s="3"/>
      <c r="C2" s="3"/>
      <c r="D2" s="3"/>
    </row>
    <row r="3" ht="30.0" customHeight="1">
      <c r="A3" s="4"/>
      <c r="B3" s="5"/>
    </row>
    <row r="4" ht="24.0" customHeight="1">
      <c r="A4" s="6"/>
      <c r="B4" s="7" t="s">
        <v>9</v>
      </c>
      <c r="C4" s="7" t="s">
        <v>10</v>
      </c>
      <c r="D4" s="32" t="s">
        <v>2</v>
      </c>
    </row>
    <row r="5" ht="19.5" customHeight="1">
      <c r="A5" s="8"/>
      <c r="B5" s="19" t="s">
        <v>11</v>
      </c>
      <c r="C5" s="20" t="s">
        <v>12</v>
      </c>
      <c r="D5" s="21">
        <v>95759.0</v>
      </c>
    </row>
    <row r="6" ht="19.5" customHeight="1">
      <c r="A6" s="8"/>
      <c r="B6" s="22"/>
      <c r="C6" s="23" t="s">
        <v>13</v>
      </c>
      <c r="D6" s="24">
        <v>251726.0</v>
      </c>
    </row>
    <row r="7" ht="19.5" customHeight="1">
      <c r="A7" s="8"/>
      <c r="B7" s="25"/>
      <c r="C7" s="20" t="s">
        <v>14</v>
      </c>
      <c r="D7" s="21">
        <v>277768.0</v>
      </c>
    </row>
    <row r="8" ht="19.5" customHeight="1">
      <c r="A8" s="8"/>
      <c r="B8" s="22"/>
      <c r="C8" s="23" t="s">
        <v>15</v>
      </c>
      <c r="D8" s="26">
        <v>336313.0</v>
      </c>
    </row>
    <row r="9" ht="19.5" customHeight="1">
      <c r="A9" s="8"/>
      <c r="B9" s="25"/>
      <c r="C9" s="20" t="s">
        <v>16</v>
      </c>
      <c r="D9" s="26">
        <v>438642.0</v>
      </c>
    </row>
    <row r="10" ht="19.5" customHeight="1">
      <c r="A10" s="8"/>
      <c r="B10" s="22"/>
      <c r="C10" s="23" t="s">
        <v>17</v>
      </c>
      <c r="D10" s="26">
        <v>270753.0</v>
      </c>
    </row>
    <row r="11" ht="19.5" customHeight="1">
      <c r="A11" s="27"/>
      <c r="B11" s="25"/>
      <c r="C11" s="20" t="s">
        <v>18</v>
      </c>
      <c r="D11" s="33">
        <v>267701.0</v>
      </c>
    </row>
    <row r="12" ht="19.5" customHeight="1">
      <c r="A12" s="8"/>
      <c r="B12" s="22"/>
      <c r="C12" s="23" t="s">
        <v>19</v>
      </c>
      <c r="D12" s="34">
        <v>281.643</v>
      </c>
    </row>
    <row r="13" ht="19.5" customHeight="1">
      <c r="A13" s="8"/>
      <c r="B13" s="25"/>
      <c r="C13" s="20" t="s">
        <v>20</v>
      </c>
      <c r="D13" s="35">
        <v>354637.0</v>
      </c>
    </row>
    <row r="14" ht="19.5" customHeight="1">
      <c r="A14" s="8"/>
      <c r="B14" s="22"/>
      <c r="C14" s="23" t="s">
        <v>21</v>
      </c>
      <c r="D14" s="36">
        <v>567392.0</v>
      </c>
    </row>
    <row r="15" ht="19.5" customHeight="1">
      <c r="A15" s="8"/>
      <c r="B15" s="25"/>
      <c r="C15" s="20" t="s">
        <v>22</v>
      </c>
      <c r="D15" s="33">
        <v>352428.0</v>
      </c>
    </row>
    <row r="16" ht="19.5" customHeight="1">
      <c r="A16" s="8"/>
      <c r="B16" s="22"/>
      <c r="C16" s="23" t="s">
        <v>23</v>
      </c>
      <c r="D16" s="34">
        <v>531013.0</v>
      </c>
    </row>
    <row r="17" ht="19.5" customHeight="1">
      <c r="A17" s="8"/>
      <c r="B17" s="16" t="s">
        <v>8</v>
      </c>
      <c r="C17" s="30"/>
      <c r="D17" s="31">
        <f>SUM(D5:D16)</f>
        <v>3744413.643</v>
      </c>
    </row>
  </sheetData>
  <mergeCells count="2">
    <mergeCell ref="B1:D1"/>
    <mergeCell ref="B3:D3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25.13"/>
  </cols>
  <sheetData>
    <row r="1" ht="70.5" customHeight="1">
      <c r="A1" s="1"/>
      <c r="B1" s="2" t="s">
        <v>0</v>
      </c>
    </row>
    <row r="2" ht="12.0" customHeight="1">
      <c r="A2" s="1"/>
      <c r="B2" s="3"/>
      <c r="C2" s="3"/>
      <c r="D2" s="3"/>
    </row>
    <row r="3" ht="30.0" customHeight="1">
      <c r="A3" s="4"/>
      <c r="B3" s="5"/>
    </row>
    <row r="4" ht="24.0" customHeight="1">
      <c r="A4" s="6"/>
      <c r="B4" s="7" t="s">
        <v>9</v>
      </c>
      <c r="C4" s="7" t="s">
        <v>10</v>
      </c>
      <c r="D4" s="18" t="s">
        <v>2</v>
      </c>
    </row>
    <row r="5" ht="19.5" customHeight="1">
      <c r="A5" s="8"/>
      <c r="B5" s="19" t="s">
        <v>11</v>
      </c>
      <c r="C5" s="20" t="s">
        <v>12</v>
      </c>
      <c r="D5" s="21">
        <v>100821.0</v>
      </c>
    </row>
    <row r="6" ht="19.5" customHeight="1">
      <c r="A6" s="8"/>
      <c r="B6" s="22"/>
      <c r="C6" s="23" t="s">
        <v>13</v>
      </c>
      <c r="D6" s="24">
        <v>102284.0</v>
      </c>
    </row>
    <row r="7" ht="19.5" customHeight="1">
      <c r="A7" s="8"/>
      <c r="B7" s="25"/>
      <c r="C7" s="20" t="s">
        <v>14</v>
      </c>
      <c r="D7" s="21">
        <v>156910.0</v>
      </c>
    </row>
    <row r="8" ht="19.5" customHeight="1">
      <c r="A8" s="8"/>
      <c r="B8" s="22"/>
      <c r="C8" s="23" t="s">
        <v>15</v>
      </c>
      <c r="D8" s="26">
        <v>135141.0</v>
      </c>
    </row>
    <row r="9" ht="19.5" customHeight="1">
      <c r="A9" s="8"/>
      <c r="B9" s="25"/>
      <c r="C9" s="20" t="s">
        <v>16</v>
      </c>
      <c r="D9" s="26">
        <v>139202.0</v>
      </c>
    </row>
    <row r="10" ht="19.5" customHeight="1">
      <c r="A10" s="8"/>
      <c r="B10" s="22"/>
      <c r="C10" s="23" t="s">
        <v>17</v>
      </c>
      <c r="D10" s="26">
        <v>178216.0</v>
      </c>
    </row>
    <row r="11" ht="19.5" customHeight="1">
      <c r="A11" s="27"/>
      <c r="B11" s="25"/>
      <c r="C11" s="20" t="s">
        <v>18</v>
      </c>
      <c r="D11" s="35">
        <v>151384.0</v>
      </c>
    </row>
    <row r="12" ht="19.5" customHeight="1">
      <c r="A12" s="8"/>
      <c r="B12" s="22"/>
      <c r="C12" s="23" t="s">
        <v>19</v>
      </c>
      <c r="D12" s="36">
        <v>259101.0</v>
      </c>
    </row>
    <row r="13" ht="19.5" customHeight="1">
      <c r="A13" s="8"/>
      <c r="B13" s="25"/>
      <c r="C13" s="20" t="s">
        <v>20</v>
      </c>
      <c r="D13" s="33">
        <v>235590.0</v>
      </c>
    </row>
    <row r="14" ht="19.5" customHeight="1">
      <c r="A14" s="8"/>
      <c r="B14" s="22"/>
      <c r="C14" s="23" t="s">
        <v>21</v>
      </c>
      <c r="D14" s="36">
        <v>188821.0</v>
      </c>
    </row>
    <row r="15" ht="19.5" customHeight="1">
      <c r="A15" s="8"/>
      <c r="B15" s="25"/>
      <c r="C15" s="20" t="s">
        <v>22</v>
      </c>
      <c r="D15" s="33">
        <v>150322.0</v>
      </c>
    </row>
    <row r="16" ht="19.5" customHeight="1">
      <c r="A16" s="8"/>
      <c r="B16" s="22"/>
      <c r="C16" s="23" t="s">
        <v>23</v>
      </c>
      <c r="D16" s="21">
        <v>17366.0</v>
      </c>
    </row>
    <row r="17" ht="19.5" customHeight="1">
      <c r="A17" s="8"/>
      <c r="B17" s="16" t="s">
        <v>8</v>
      </c>
      <c r="C17" s="30"/>
      <c r="D17" s="31">
        <f>SUM(D5:D16)</f>
        <v>1815158</v>
      </c>
    </row>
  </sheetData>
  <mergeCells count="2">
    <mergeCell ref="B1:D1"/>
    <mergeCell ref="B3:D3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37.75"/>
    <col customWidth="1" min="5" max="5" width="25.13"/>
  </cols>
  <sheetData>
    <row r="1" ht="70.5" customHeight="1">
      <c r="A1" s="1"/>
      <c r="B1" s="2" t="s">
        <v>0</v>
      </c>
    </row>
    <row r="2" ht="12.0" customHeight="1">
      <c r="A2" s="1"/>
      <c r="B2" s="3"/>
      <c r="C2" s="3"/>
      <c r="D2" s="3"/>
      <c r="E2" s="3"/>
    </row>
    <row r="3" ht="30.0" customHeight="1">
      <c r="A3" s="4"/>
      <c r="B3" s="5"/>
    </row>
    <row r="4" ht="24.0" customHeight="1">
      <c r="A4" s="6"/>
      <c r="B4" s="7" t="s">
        <v>9</v>
      </c>
      <c r="C4" s="7" t="s">
        <v>10</v>
      </c>
      <c r="D4" s="7" t="s">
        <v>24</v>
      </c>
      <c r="E4" s="18" t="s">
        <v>2</v>
      </c>
    </row>
    <row r="5" ht="19.5" customHeight="1">
      <c r="A5" s="8"/>
      <c r="B5" s="19" t="s">
        <v>11</v>
      </c>
      <c r="C5" s="20" t="s">
        <v>12</v>
      </c>
      <c r="D5" s="12" t="s">
        <v>25</v>
      </c>
      <c r="E5" s="24">
        <v>3000.0</v>
      </c>
    </row>
    <row r="6" ht="19.5" customHeight="1">
      <c r="A6" s="8"/>
      <c r="B6" s="19"/>
      <c r="C6" s="20"/>
      <c r="D6" s="12" t="s">
        <v>26</v>
      </c>
      <c r="E6" s="24">
        <v>3000.0</v>
      </c>
    </row>
    <row r="7" ht="19.5" customHeight="1">
      <c r="A7" s="8"/>
      <c r="B7" s="19"/>
      <c r="C7" s="20"/>
      <c r="D7" s="12" t="s">
        <v>27</v>
      </c>
      <c r="E7" s="24">
        <v>5000.0</v>
      </c>
    </row>
    <row r="8" ht="19.5" customHeight="1">
      <c r="A8" s="8"/>
      <c r="B8" s="19"/>
      <c r="C8" s="20"/>
      <c r="D8" s="12" t="s">
        <v>28</v>
      </c>
      <c r="E8" s="24">
        <v>5000.0</v>
      </c>
    </row>
    <row r="9" ht="19.5" customHeight="1">
      <c r="A9" s="8"/>
      <c r="B9" s="19"/>
      <c r="C9" s="20"/>
      <c r="D9" s="12" t="s">
        <v>25</v>
      </c>
      <c r="E9" s="24">
        <v>3000.0</v>
      </c>
    </row>
    <row r="10" ht="19.5" customHeight="1">
      <c r="A10" s="8"/>
      <c r="B10" s="19"/>
      <c r="C10" s="20"/>
      <c r="D10" s="12" t="s">
        <v>29</v>
      </c>
      <c r="E10" s="24">
        <v>5000.0</v>
      </c>
    </row>
    <row r="11" ht="19.5" customHeight="1">
      <c r="A11" s="8"/>
      <c r="B11" s="19"/>
      <c r="C11" s="20"/>
      <c r="D11" s="12" t="s">
        <v>27</v>
      </c>
      <c r="E11" s="24">
        <v>5000.0</v>
      </c>
    </row>
    <row r="12" ht="19.5" customHeight="1">
      <c r="A12" s="8"/>
      <c r="B12" s="19"/>
      <c r="C12" s="20"/>
      <c r="D12" s="12" t="s">
        <v>26</v>
      </c>
      <c r="E12" s="24">
        <v>3000.0</v>
      </c>
    </row>
    <row r="13" ht="19.5" customHeight="1">
      <c r="A13" s="8"/>
      <c r="B13" s="19"/>
      <c r="C13" s="20"/>
      <c r="D13" s="12" t="s">
        <v>30</v>
      </c>
      <c r="E13" s="24">
        <v>3000.0</v>
      </c>
    </row>
    <row r="14" ht="19.5" customHeight="1">
      <c r="A14" s="8"/>
      <c r="B14" s="19"/>
      <c r="C14" s="20"/>
      <c r="D14" s="12" t="s">
        <v>31</v>
      </c>
      <c r="E14" s="24">
        <v>5000.0</v>
      </c>
    </row>
    <row r="15" ht="19.5" customHeight="1">
      <c r="A15" s="8"/>
      <c r="B15" s="19"/>
      <c r="C15" s="20"/>
      <c r="D15" s="12"/>
      <c r="E15" s="24"/>
    </row>
    <row r="16" ht="19.5" customHeight="1">
      <c r="A16" s="8"/>
      <c r="B16" s="22"/>
      <c r="C16" s="23" t="s">
        <v>13</v>
      </c>
      <c r="D16" s="12" t="s">
        <v>25</v>
      </c>
      <c r="E16" s="24">
        <v>3000.0</v>
      </c>
    </row>
    <row r="17" ht="19.5" customHeight="1">
      <c r="A17" s="8"/>
      <c r="B17" s="22"/>
      <c r="C17" s="23"/>
      <c r="D17" s="12" t="s">
        <v>26</v>
      </c>
      <c r="E17" s="24">
        <v>3000.0</v>
      </c>
    </row>
    <row r="18" ht="19.5" customHeight="1">
      <c r="A18" s="8"/>
      <c r="B18" s="22"/>
      <c r="C18" s="23"/>
      <c r="D18" s="12" t="s">
        <v>27</v>
      </c>
      <c r="E18" s="24">
        <v>5000.0</v>
      </c>
    </row>
    <row r="19" ht="19.5" customHeight="1">
      <c r="A19" s="8"/>
      <c r="B19" s="22"/>
      <c r="C19" s="23"/>
      <c r="D19" s="12" t="s">
        <v>28</v>
      </c>
      <c r="E19" s="24">
        <v>5000.0</v>
      </c>
    </row>
    <row r="20" ht="19.5" customHeight="1">
      <c r="A20" s="8"/>
      <c r="B20" s="22"/>
      <c r="C20" s="23"/>
      <c r="D20" s="12" t="s">
        <v>25</v>
      </c>
      <c r="E20" s="24">
        <v>3000.0</v>
      </c>
    </row>
    <row r="21" ht="19.5" customHeight="1">
      <c r="A21" s="8"/>
      <c r="B21" s="22"/>
      <c r="C21" s="23"/>
      <c r="D21" s="12" t="s">
        <v>29</v>
      </c>
      <c r="E21" s="24">
        <v>5000.0</v>
      </c>
    </row>
    <row r="22" ht="19.5" customHeight="1">
      <c r="A22" s="8"/>
      <c r="B22" s="22"/>
      <c r="C22" s="23"/>
      <c r="D22" s="12" t="s">
        <v>27</v>
      </c>
      <c r="E22" s="24">
        <v>5000.0</v>
      </c>
    </row>
    <row r="23" ht="19.5" customHeight="1">
      <c r="A23" s="8"/>
      <c r="B23" s="22"/>
      <c r="C23" s="23"/>
      <c r="D23" s="12" t="s">
        <v>26</v>
      </c>
      <c r="E23" s="24">
        <v>3000.0</v>
      </c>
    </row>
    <row r="24" ht="19.5" customHeight="1">
      <c r="A24" s="8"/>
      <c r="B24" s="22"/>
      <c r="C24" s="23"/>
      <c r="D24" s="12" t="s">
        <v>30</v>
      </c>
      <c r="E24" s="24">
        <v>3000.0</v>
      </c>
    </row>
    <row r="25" ht="19.5" customHeight="1">
      <c r="A25" s="8"/>
      <c r="B25" s="22"/>
      <c r="C25" s="23"/>
      <c r="D25" s="12" t="s">
        <v>31</v>
      </c>
      <c r="E25" s="24">
        <v>5000.0</v>
      </c>
    </row>
    <row r="26" ht="19.5" customHeight="1">
      <c r="A26" s="8"/>
      <c r="B26" s="22"/>
      <c r="C26" s="23"/>
      <c r="D26" s="23"/>
      <c r="E26" s="24"/>
    </row>
    <row r="27" ht="19.5" customHeight="1">
      <c r="A27" s="8"/>
      <c r="B27" s="25"/>
      <c r="C27" s="20" t="s">
        <v>14</v>
      </c>
      <c r="D27" s="21" t="s">
        <v>32</v>
      </c>
      <c r="E27" s="21">
        <v>6000.0</v>
      </c>
    </row>
    <row r="28" ht="19.5" customHeight="1">
      <c r="A28" s="8"/>
      <c r="B28" s="25"/>
      <c r="C28" s="20"/>
      <c r="D28" s="24" t="s">
        <v>33</v>
      </c>
      <c r="E28" s="21">
        <v>10000.0</v>
      </c>
    </row>
    <row r="29" ht="19.5" customHeight="1">
      <c r="A29" s="8"/>
      <c r="B29" s="25"/>
      <c r="C29" s="20"/>
      <c r="D29" s="24" t="s">
        <v>34</v>
      </c>
      <c r="E29" s="21">
        <v>5000.0</v>
      </c>
    </row>
    <row r="30" ht="19.5" customHeight="1">
      <c r="A30" s="8"/>
      <c r="B30" s="25"/>
      <c r="C30" s="20"/>
      <c r="D30" s="24" t="s">
        <v>35</v>
      </c>
      <c r="E30" s="21">
        <v>5000.0</v>
      </c>
    </row>
    <row r="31" ht="19.5" customHeight="1">
      <c r="A31" s="8"/>
      <c r="B31" s="25"/>
      <c r="C31" s="20"/>
      <c r="D31" s="24" t="s">
        <v>36</v>
      </c>
      <c r="E31" s="21">
        <v>5000.0</v>
      </c>
    </row>
    <row r="32" ht="19.5" customHeight="1">
      <c r="A32" s="8"/>
      <c r="B32" s="25"/>
      <c r="C32" s="20"/>
      <c r="D32" s="21" t="s">
        <v>37</v>
      </c>
      <c r="E32" s="21">
        <v>5000.0</v>
      </c>
    </row>
    <row r="33" ht="19.5" customHeight="1">
      <c r="A33" s="8"/>
      <c r="B33" s="25"/>
      <c r="C33" s="20"/>
      <c r="D33" s="21" t="s">
        <v>38</v>
      </c>
      <c r="E33" s="21">
        <v>5000.0</v>
      </c>
    </row>
    <row r="34" ht="19.5" customHeight="1">
      <c r="A34" s="8"/>
      <c r="B34" s="25"/>
      <c r="C34" s="20"/>
      <c r="D34" s="21"/>
      <c r="E34" s="21"/>
    </row>
    <row r="35" ht="19.5" customHeight="1">
      <c r="A35" s="8"/>
      <c r="B35" s="22"/>
      <c r="C35" s="23" t="s">
        <v>15</v>
      </c>
      <c r="D35" s="24" t="s">
        <v>32</v>
      </c>
      <c r="E35" s="26">
        <v>6000.0</v>
      </c>
    </row>
    <row r="36" ht="19.5" customHeight="1">
      <c r="A36" s="8"/>
      <c r="B36" s="22"/>
      <c r="C36" s="23"/>
      <c r="D36" s="24" t="s">
        <v>39</v>
      </c>
      <c r="E36" s="26">
        <v>5000.0</v>
      </c>
    </row>
    <row r="37" ht="19.5" customHeight="1">
      <c r="A37" s="8"/>
      <c r="B37" s="22"/>
      <c r="C37" s="23"/>
      <c r="D37" s="24" t="s">
        <v>33</v>
      </c>
      <c r="E37" s="26">
        <v>3000.0</v>
      </c>
    </row>
    <row r="38" ht="19.5" customHeight="1">
      <c r="A38" s="8"/>
      <c r="B38" s="22"/>
      <c r="C38" s="23"/>
      <c r="D38" s="24" t="s">
        <v>34</v>
      </c>
      <c r="E38" s="26">
        <v>3000.0</v>
      </c>
    </row>
    <row r="39" ht="19.5" customHeight="1">
      <c r="A39" s="8"/>
      <c r="B39" s="22"/>
      <c r="C39" s="23"/>
      <c r="D39" s="24" t="s">
        <v>40</v>
      </c>
      <c r="E39" s="26">
        <v>5000.0</v>
      </c>
    </row>
    <row r="40" ht="19.5" customHeight="1">
      <c r="A40" s="8"/>
      <c r="B40" s="25"/>
      <c r="D40" s="24" t="s">
        <v>36</v>
      </c>
      <c r="E40" s="26">
        <v>5000.0</v>
      </c>
    </row>
    <row r="41" ht="19.5" customHeight="1">
      <c r="A41" s="8"/>
      <c r="B41" s="25"/>
      <c r="C41" s="20"/>
      <c r="D41" s="24" t="s">
        <v>41</v>
      </c>
      <c r="E41" s="26">
        <v>4000.0</v>
      </c>
    </row>
    <row r="42" ht="19.5" customHeight="1">
      <c r="A42" s="8"/>
      <c r="B42" s="25"/>
      <c r="C42" s="20"/>
      <c r="D42" s="20"/>
      <c r="E42" s="26"/>
    </row>
    <row r="43" ht="19.5" customHeight="1">
      <c r="A43" s="8"/>
      <c r="B43" s="25"/>
      <c r="C43" s="20" t="s">
        <v>16</v>
      </c>
      <c r="D43" s="21" t="s">
        <v>32</v>
      </c>
      <c r="E43" s="26">
        <v>3000.0</v>
      </c>
    </row>
    <row r="44" ht="19.5" customHeight="1">
      <c r="A44" s="8"/>
      <c r="B44" s="25"/>
      <c r="C44" s="20"/>
      <c r="D44" s="21" t="s">
        <v>42</v>
      </c>
      <c r="E44" s="26">
        <v>5000.0</v>
      </c>
    </row>
    <row r="45" ht="19.5" customHeight="1">
      <c r="A45" s="8"/>
      <c r="B45" s="25"/>
      <c r="C45" s="20"/>
      <c r="D45" s="21" t="s">
        <v>34</v>
      </c>
      <c r="E45" s="26">
        <v>4000.0</v>
      </c>
    </row>
    <row r="46" ht="19.5" customHeight="1">
      <c r="A46" s="8"/>
      <c r="B46" s="25"/>
      <c r="C46" s="20"/>
      <c r="D46" s="21" t="s">
        <v>33</v>
      </c>
      <c r="E46" s="26">
        <v>4000.0</v>
      </c>
    </row>
    <row r="47" ht="19.5" customHeight="1">
      <c r="A47" s="8"/>
      <c r="B47" s="25"/>
      <c r="C47" s="20"/>
      <c r="D47" s="21" t="s">
        <v>41</v>
      </c>
      <c r="E47" s="26">
        <v>4000.0</v>
      </c>
    </row>
    <row r="48" ht="19.5" customHeight="1">
      <c r="A48" s="8"/>
      <c r="B48" s="25"/>
      <c r="C48" s="20"/>
      <c r="D48" s="21" t="s">
        <v>36</v>
      </c>
      <c r="E48" s="26">
        <v>5000.0</v>
      </c>
    </row>
    <row r="49" ht="19.5" customHeight="1">
      <c r="A49" s="8"/>
      <c r="B49" s="25"/>
      <c r="C49" s="20"/>
      <c r="D49" s="20"/>
      <c r="E49" s="26"/>
    </row>
    <row r="50" ht="19.5" customHeight="1">
      <c r="A50" s="8"/>
      <c r="B50" s="22"/>
      <c r="C50" s="23" t="s">
        <v>17</v>
      </c>
      <c r="D50" s="24" t="s">
        <v>43</v>
      </c>
      <c r="E50" s="26">
        <v>5000.0</v>
      </c>
    </row>
    <row r="51" ht="19.5" customHeight="1">
      <c r="A51" s="8"/>
      <c r="B51" s="22"/>
      <c r="C51" s="23"/>
      <c r="D51" s="24" t="s">
        <v>44</v>
      </c>
      <c r="E51" s="26">
        <v>6000.0</v>
      </c>
    </row>
    <row r="52" ht="19.5" customHeight="1">
      <c r="A52" s="8"/>
      <c r="B52" s="22"/>
      <c r="C52" s="23"/>
      <c r="D52" s="24" t="s">
        <v>45</v>
      </c>
      <c r="E52" s="26">
        <v>6000.0</v>
      </c>
    </row>
    <row r="53" ht="19.5" customHeight="1">
      <c r="A53" s="8"/>
      <c r="B53" s="22"/>
      <c r="C53" s="23"/>
      <c r="D53" s="24" t="s">
        <v>46</v>
      </c>
      <c r="E53" s="26">
        <v>5000.0</v>
      </c>
    </row>
    <row r="54" ht="19.5" customHeight="1">
      <c r="A54" s="8"/>
      <c r="B54" s="22"/>
      <c r="C54" s="23"/>
      <c r="D54" s="24" t="s">
        <v>47</v>
      </c>
      <c r="E54" s="26">
        <v>6000.0</v>
      </c>
    </row>
    <row r="55" ht="19.5" customHeight="1">
      <c r="A55" s="8"/>
      <c r="B55" s="22"/>
      <c r="C55" s="23"/>
      <c r="D55" s="24" t="s">
        <v>48</v>
      </c>
      <c r="E55" s="26">
        <v>5000.0</v>
      </c>
    </row>
    <row r="56" ht="19.5" customHeight="1">
      <c r="A56" s="8"/>
      <c r="B56" s="22"/>
      <c r="C56" s="23"/>
      <c r="D56" s="24" t="s">
        <v>49</v>
      </c>
      <c r="E56" s="26">
        <v>5000.0</v>
      </c>
    </row>
    <row r="57" ht="19.5" customHeight="1">
      <c r="A57" s="8"/>
      <c r="B57" s="22"/>
      <c r="C57" s="23"/>
      <c r="D57" s="23"/>
      <c r="E57" s="26"/>
    </row>
    <row r="58" ht="19.5" customHeight="1">
      <c r="A58" s="27"/>
      <c r="B58" s="25"/>
      <c r="C58" s="20" t="s">
        <v>18</v>
      </c>
      <c r="D58" s="20"/>
      <c r="E58" s="28"/>
    </row>
    <row r="59" ht="19.5" customHeight="1">
      <c r="A59" s="8"/>
      <c r="B59" s="22"/>
      <c r="C59" s="23" t="s">
        <v>19</v>
      </c>
      <c r="D59" s="23"/>
      <c r="E59" s="29"/>
    </row>
    <row r="60" ht="19.5" customHeight="1">
      <c r="A60" s="8"/>
      <c r="B60" s="25"/>
      <c r="C60" s="20" t="s">
        <v>20</v>
      </c>
      <c r="D60" s="20"/>
      <c r="E60" s="28"/>
    </row>
    <row r="61" ht="19.5" customHeight="1">
      <c r="A61" s="8"/>
      <c r="B61" s="22"/>
      <c r="C61" s="23" t="s">
        <v>21</v>
      </c>
      <c r="D61" s="23"/>
      <c r="E61" s="29"/>
    </row>
    <row r="62" ht="19.5" customHeight="1">
      <c r="A62" s="8"/>
      <c r="B62" s="25"/>
      <c r="C62" s="20" t="s">
        <v>22</v>
      </c>
      <c r="D62" s="20"/>
      <c r="E62" s="28"/>
    </row>
    <row r="63" ht="19.5" customHeight="1">
      <c r="A63" s="8"/>
      <c r="B63" s="22"/>
      <c r="C63" s="23" t="s">
        <v>23</v>
      </c>
      <c r="D63" s="23"/>
      <c r="E63" s="29"/>
    </row>
    <row r="64" ht="19.5" customHeight="1">
      <c r="A64" s="8"/>
      <c r="B64" s="16" t="s">
        <v>8</v>
      </c>
      <c r="C64" s="30"/>
      <c r="D64" s="30"/>
      <c r="E64" s="31">
        <f>SUM(E5:E63)</f>
        <v>215000</v>
      </c>
    </row>
  </sheetData>
  <mergeCells count="2">
    <mergeCell ref="B1:E1"/>
    <mergeCell ref="B3:E3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37.75"/>
    <col customWidth="1" min="5" max="5" width="25.13"/>
  </cols>
  <sheetData>
    <row r="1" ht="70.5" customHeight="1">
      <c r="A1" s="1"/>
      <c r="B1" s="2" t="s">
        <v>0</v>
      </c>
    </row>
    <row r="2" ht="12.0" customHeight="1">
      <c r="A2" s="1"/>
      <c r="B2" s="3"/>
      <c r="C2" s="3"/>
      <c r="D2" s="3"/>
      <c r="E2" s="3"/>
    </row>
    <row r="3" ht="30.0" customHeight="1">
      <c r="A3" s="4"/>
      <c r="B3" s="5"/>
    </row>
    <row r="4" ht="24.0" customHeight="1">
      <c r="A4" s="6"/>
      <c r="B4" s="7" t="s">
        <v>50</v>
      </c>
      <c r="C4" s="7" t="s">
        <v>10</v>
      </c>
      <c r="D4" s="7" t="s">
        <v>51</v>
      </c>
      <c r="E4" s="18" t="s">
        <v>2</v>
      </c>
    </row>
    <row r="5" ht="19.5" customHeight="1">
      <c r="A5" s="8"/>
      <c r="B5" s="35">
        <v>2020.0</v>
      </c>
      <c r="C5" s="20" t="s">
        <v>12</v>
      </c>
      <c r="E5" s="24"/>
    </row>
    <row r="6" ht="19.5" customHeight="1">
      <c r="A6" s="8"/>
      <c r="B6" s="19"/>
      <c r="C6" s="14" t="s">
        <v>13</v>
      </c>
      <c r="D6" s="12"/>
      <c r="E6" s="24"/>
    </row>
    <row r="7" ht="19.5" customHeight="1">
      <c r="A7" s="8"/>
      <c r="B7" s="22"/>
      <c r="C7" s="12" t="s">
        <v>14</v>
      </c>
      <c r="D7" s="12"/>
      <c r="E7" s="24"/>
    </row>
    <row r="8" ht="19.5" customHeight="1">
      <c r="A8" s="8"/>
      <c r="B8" s="22"/>
      <c r="C8" s="12" t="s">
        <v>15</v>
      </c>
      <c r="D8" s="12"/>
      <c r="E8" s="24"/>
    </row>
    <row r="9" ht="19.5" customHeight="1">
      <c r="A9" s="8"/>
      <c r="B9" s="22"/>
      <c r="C9" s="12" t="s">
        <v>16</v>
      </c>
      <c r="D9" s="12" t="s">
        <v>52</v>
      </c>
      <c r="E9" s="24">
        <v>25000.0</v>
      </c>
    </row>
    <row r="10" ht="19.5" customHeight="1">
      <c r="A10" s="8"/>
      <c r="B10" s="22"/>
      <c r="C10" s="12" t="s">
        <v>17</v>
      </c>
      <c r="D10" s="12"/>
      <c r="E10" s="24"/>
    </row>
    <row r="11" ht="19.5" customHeight="1">
      <c r="A11" s="8"/>
      <c r="B11" s="22"/>
      <c r="C11" s="12" t="s">
        <v>18</v>
      </c>
      <c r="D11" s="12"/>
      <c r="E11" s="24"/>
    </row>
    <row r="12" ht="19.5" customHeight="1">
      <c r="A12" s="8"/>
      <c r="B12" s="22"/>
      <c r="C12" s="12" t="s">
        <v>19</v>
      </c>
      <c r="D12" s="12"/>
      <c r="E12" s="24"/>
    </row>
    <row r="13" ht="19.5" customHeight="1">
      <c r="A13" s="8"/>
      <c r="B13" s="22"/>
      <c r="C13" s="12" t="s">
        <v>20</v>
      </c>
      <c r="D13" s="12" t="s">
        <v>53</v>
      </c>
      <c r="E13" s="24">
        <v>25000.0</v>
      </c>
    </row>
    <row r="14" ht="19.5" customHeight="1">
      <c r="A14" s="8"/>
      <c r="B14" s="22"/>
      <c r="C14" s="12" t="s">
        <v>21</v>
      </c>
      <c r="D14" s="12" t="s">
        <v>53</v>
      </c>
      <c r="E14" s="24">
        <v>25000.0</v>
      </c>
    </row>
    <row r="15" ht="19.5" customHeight="1">
      <c r="A15" s="8"/>
      <c r="B15" s="22"/>
      <c r="C15" s="12" t="s">
        <v>22</v>
      </c>
      <c r="D15" s="12"/>
      <c r="E15" s="24"/>
    </row>
    <row r="16" ht="19.5" customHeight="1">
      <c r="A16" s="8"/>
      <c r="B16" s="22"/>
      <c r="C16" s="12" t="s">
        <v>23</v>
      </c>
      <c r="D16" s="12" t="s">
        <v>53</v>
      </c>
      <c r="E16" s="24">
        <v>25000.0</v>
      </c>
    </row>
    <row r="17" ht="19.5" customHeight="1">
      <c r="A17" s="8"/>
      <c r="B17" s="22"/>
      <c r="C17" s="12"/>
      <c r="D17" s="12"/>
      <c r="E17" s="24">
        <f>SUM(E5:E16)</f>
        <v>100000</v>
      </c>
    </row>
    <row r="18" ht="19.5" customHeight="1">
      <c r="A18" s="8"/>
      <c r="B18" s="22"/>
      <c r="C18" s="23"/>
      <c r="D18" s="23"/>
      <c r="E18" s="24"/>
    </row>
    <row r="19" ht="19.5" customHeight="1">
      <c r="A19" s="8"/>
      <c r="B19" s="35">
        <v>2021.0</v>
      </c>
      <c r="C19" s="20" t="s">
        <v>12</v>
      </c>
      <c r="D19" s="12" t="s">
        <v>52</v>
      </c>
      <c r="E19" s="24">
        <v>25000.0</v>
      </c>
    </row>
    <row r="20" ht="19.5" customHeight="1">
      <c r="A20" s="8"/>
      <c r="B20" s="25"/>
      <c r="C20" s="14" t="s">
        <v>13</v>
      </c>
      <c r="D20" s="24"/>
      <c r="E20" s="21"/>
    </row>
    <row r="21" ht="19.5" customHeight="1">
      <c r="A21" s="8"/>
      <c r="B21" s="25"/>
      <c r="C21" s="12" t="s">
        <v>14</v>
      </c>
      <c r="D21" s="24"/>
      <c r="E21" s="21"/>
    </row>
    <row r="22" ht="19.5" customHeight="1">
      <c r="A22" s="8"/>
      <c r="B22" s="25"/>
      <c r="C22" s="12" t="s">
        <v>15</v>
      </c>
      <c r="D22" s="12" t="s">
        <v>54</v>
      </c>
      <c r="E22" s="21">
        <v>37852.0</v>
      </c>
    </row>
    <row r="23" ht="19.5" customHeight="1">
      <c r="A23" s="8"/>
      <c r="B23" s="25"/>
      <c r="C23" s="12" t="s">
        <v>16</v>
      </c>
      <c r="D23" s="24"/>
      <c r="E23" s="21"/>
    </row>
    <row r="24" ht="19.5" customHeight="1">
      <c r="A24" s="8"/>
      <c r="B24" s="25"/>
      <c r="C24" s="12" t="s">
        <v>17</v>
      </c>
      <c r="D24" s="12" t="s">
        <v>54</v>
      </c>
      <c r="E24" s="21">
        <v>20000.0</v>
      </c>
    </row>
    <row r="25" ht="19.5" customHeight="1">
      <c r="A25" s="8"/>
      <c r="B25" s="25"/>
      <c r="C25" s="12"/>
      <c r="D25" s="12" t="s">
        <v>54</v>
      </c>
      <c r="E25" s="21">
        <v>20000.0</v>
      </c>
    </row>
    <row r="26" ht="19.5" customHeight="1">
      <c r="A26" s="8"/>
      <c r="B26" s="25"/>
      <c r="C26" s="12" t="s">
        <v>18</v>
      </c>
      <c r="D26" s="21"/>
      <c r="E26" s="21"/>
    </row>
    <row r="27" ht="19.5" customHeight="1">
      <c r="A27" s="8"/>
      <c r="B27" s="25"/>
      <c r="C27" s="12" t="s">
        <v>19</v>
      </c>
      <c r="D27" s="12" t="s">
        <v>54</v>
      </c>
      <c r="E27" s="21">
        <v>25000.0</v>
      </c>
    </row>
    <row r="28" ht="19.5" customHeight="1">
      <c r="A28" s="8"/>
      <c r="B28" s="22"/>
      <c r="C28" s="12" t="s">
        <v>20</v>
      </c>
      <c r="D28" s="12" t="s">
        <v>52</v>
      </c>
      <c r="E28" s="24">
        <v>25000.0</v>
      </c>
    </row>
    <row r="29" ht="19.5" customHeight="1">
      <c r="A29" s="8"/>
      <c r="B29" s="22"/>
      <c r="C29" s="12" t="s">
        <v>21</v>
      </c>
      <c r="D29" s="12" t="s">
        <v>52</v>
      </c>
      <c r="E29" s="24">
        <v>25000.0</v>
      </c>
    </row>
    <row r="30" ht="19.5" customHeight="1">
      <c r="A30" s="8"/>
      <c r="B30" s="22"/>
      <c r="C30" s="12" t="s">
        <v>22</v>
      </c>
      <c r="D30" s="12" t="s">
        <v>52</v>
      </c>
      <c r="E30" s="24">
        <v>25000.0</v>
      </c>
    </row>
    <row r="31" ht="19.5" customHeight="1">
      <c r="A31" s="8"/>
      <c r="B31" s="22"/>
      <c r="C31" s="12" t="s">
        <v>23</v>
      </c>
      <c r="D31" s="12" t="s">
        <v>52</v>
      </c>
      <c r="E31" s="24">
        <v>25000.0</v>
      </c>
    </row>
    <row r="32" ht="19.5" customHeight="1">
      <c r="A32" s="8"/>
      <c r="B32" s="22"/>
      <c r="C32" s="12"/>
      <c r="D32" s="12"/>
      <c r="E32" s="24">
        <f>sum(E19:E31)</f>
        <v>227852</v>
      </c>
    </row>
    <row r="33" ht="19.5" customHeight="1">
      <c r="A33" s="8"/>
      <c r="B33" s="22"/>
      <c r="C33" s="23"/>
      <c r="D33" s="24"/>
      <c r="E33" s="26"/>
    </row>
    <row r="34" ht="19.5" customHeight="1">
      <c r="A34" s="8"/>
      <c r="B34" s="35">
        <v>2022.0</v>
      </c>
      <c r="C34" s="20" t="s">
        <v>12</v>
      </c>
      <c r="D34" s="12" t="s">
        <v>52</v>
      </c>
      <c r="E34" s="24">
        <v>25000.0</v>
      </c>
    </row>
    <row r="35" ht="19.5" customHeight="1">
      <c r="A35" s="8"/>
      <c r="B35" s="25"/>
      <c r="C35" s="14" t="s">
        <v>13</v>
      </c>
      <c r="D35" s="12" t="s">
        <v>52</v>
      </c>
      <c r="E35" s="24">
        <v>25000.0</v>
      </c>
    </row>
    <row r="36" ht="19.5" customHeight="1">
      <c r="A36" s="8"/>
      <c r="B36" s="25"/>
      <c r="C36" s="12" t="s">
        <v>14</v>
      </c>
      <c r="D36" s="12" t="s">
        <v>52</v>
      </c>
      <c r="E36" s="24">
        <v>25000.0</v>
      </c>
    </row>
    <row r="37" ht="19.5" customHeight="1">
      <c r="A37" s="8"/>
      <c r="B37" s="25"/>
      <c r="C37" s="12" t="s">
        <v>15</v>
      </c>
      <c r="D37" s="12" t="s">
        <v>52</v>
      </c>
      <c r="E37" s="24">
        <v>25000.0</v>
      </c>
    </row>
    <row r="38" ht="19.5" customHeight="1">
      <c r="A38" s="8"/>
      <c r="B38" s="25"/>
      <c r="C38" s="12" t="s">
        <v>16</v>
      </c>
      <c r="D38" s="21"/>
      <c r="E38" s="26"/>
    </row>
    <row r="39" ht="19.5" customHeight="1">
      <c r="A39" s="8"/>
      <c r="B39" s="25"/>
      <c r="C39" s="12" t="s">
        <v>17</v>
      </c>
      <c r="D39" s="21"/>
      <c r="E39" s="26"/>
    </row>
    <row r="40" ht="19.5" customHeight="1">
      <c r="A40" s="8"/>
      <c r="B40" s="25"/>
      <c r="C40" s="12" t="s">
        <v>18</v>
      </c>
      <c r="D40" s="12" t="s">
        <v>52</v>
      </c>
      <c r="E40" s="24">
        <v>25000.0</v>
      </c>
    </row>
    <row r="41" ht="19.5" customHeight="1">
      <c r="A41" s="8"/>
      <c r="B41" s="25"/>
      <c r="C41" s="12"/>
      <c r="D41" s="37" t="s">
        <v>52</v>
      </c>
      <c r="E41" s="21">
        <v>24934.0</v>
      </c>
    </row>
    <row r="42" ht="19.5" customHeight="1">
      <c r="A42" s="8"/>
      <c r="B42" s="25"/>
      <c r="C42" s="12" t="s">
        <v>19</v>
      </c>
      <c r="D42" s="12" t="s">
        <v>52</v>
      </c>
      <c r="E42" s="24">
        <v>25000.0</v>
      </c>
    </row>
    <row r="43" ht="19.5" customHeight="1">
      <c r="A43" s="8"/>
      <c r="B43" s="25"/>
      <c r="C43" s="12"/>
      <c r="D43" s="38" t="s">
        <v>52</v>
      </c>
      <c r="E43" s="24">
        <v>25000.0</v>
      </c>
    </row>
    <row r="44" ht="19.5" customHeight="1">
      <c r="A44" s="8"/>
      <c r="B44" s="25"/>
      <c r="C44" s="12" t="s">
        <v>20</v>
      </c>
      <c r="D44" s="12" t="s">
        <v>54</v>
      </c>
      <c r="E44" s="24">
        <v>25000.0</v>
      </c>
    </row>
    <row r="45" ht="19.5" customHeight="1">
      <c r="A45" s="8"/>
      <c r="B45" s="25"/>
      <c r="C45" s="12"/>
      <c r="D45" s="12" t="s">
        <v>54</v>
      </c>
      <c r="E45" s="24">
        <v>25000.0</v>
      </c>
    </row>
    <row r="46" ht="19.5" customHeight="1">
      <c r="A46" s="8"/>
      <c r="B46" s="25"/>
      <c r="C46" s="12" t="s">
        <v>21</v>
      </c>
      <c r="D46" s="20"/>
      <c r="E46" s="24"/>
    </row>
    <row r="47" ht="19.5" customHeight="1">
      <c r="A47" s="8"/>
      <c r="B47" s="22"/>
      <c r="C47" s="12" t="s">
        <v>22</v>
      </c>
      <c r="D47" s="39" t="s">
        <v>52</v>
      </c>
      <c r="E47" s="24">
        <v>25000.0</v>
      </c>
    </row>
    <row r="48" ht="19.5" customHeight="1">
      <c r="A48" s="8"/>
      <c r="B48" s="22"/>
      <c r="C48" s="12" t="s">
        <v>23</v>
      </c>
      <c r="D48" s="39" t="s">
        <v>52</v>
      </c>
      <c r="E48" s="24">
        <v>25000.0</v>
      </c>
    </row>
    <row r="49" ht="19.5" customHeight="1">
      <c r="A49" s="8"/>
      <c r="B49" s="22"/>
      <c r="C49" s="12"/>
      <c r="D49" s="39"/>
      <c r="E49" s="24">
        <f>sum(E34:E48)</f>
        <v>299934</v>
      </c>
    </row>
    <row r="50" ht="19.5" customHeight="1">
      <c r="A50" s="8"/>
      <c r="B50" s="22"/>
      <c r="C50" s="23"/>
      <c r="D50" s="24"/>
      <c r="E50" s="26"/>
    </row>
    <row r="51" ht="19.5" customHeight="1">
      <c r="A51" s="8"/>
      <c r="B51" s="35">
        <v>2023.0</v>
      </c>
      <c r="C51" s="20" t="s">
        <v>12</v>
      </c>
      <c r="D51" s="39" t="s">
        <v>52</v>
      </c>
      <c r="E51" s="24">
        <v>25000.0</v>
      </c>
    </row>
    <row r="52" ht="19.5" customHeight="1">
      <c r="A52" s="8"/>
      <c r="B52" s="22"/>
      <c r="C52" s="14" t="s">
        <v>13</v>
      </c>
      <c r="D52" s="39" t="s">
        <v>52</v>
      </c>
      <c r="E52" s="24">
        <v>25000.0</v>
      </c>
    </row>
    <row r="53" ht="19.5" customHeight="1">
      <c r="A53" s="8"/>
      <c r="B53" s="22"/>
      <c r="C53" s="12" t="s">
        <v>14</v>
      </c>
      <c r="D53" s="39" t="s">
        <v>52</v>
      </c>
      <c r="E53" s="24">
        <v>25000.0</v>
      </c>
    </row>
    <row r="54" ht="19.5" customHeight="1">
      <c r="A54" s="8"/>
      <c r="B54" s="22"/>
      <c r="C54" s="12" t="s">
        <v>15</v>
      </c>
      <c r="D54" s="24"/>
      <c r="E54" s="26"/>
    </row>
    <row r="55" ht="19.5" customHeight="1">
      <c r="A55" s="8"/>
      <c r="B55" s="22"/>
      <c r="C55" s="12" t="s">
        <v>16</v>
      </c>
      <c r="D55" s="24"/>
      <c r="E55" s="26"/>
    </row>
    <row r="56" ht="19.5" customHeight="1">
      <c r="A56" s="8"/>
      <c r="B56" s="22"/>
      <c r="C56" s="12" t="s">
        <v>17</v>
      </c>
      <c r="D56" s="24"/>
      <c r="E56" s="26"/>
    </row>
    <row r="57" ht="19.5" customHeight="1">
      <c r="A57" s="8"/>
      <c r="B57" s="22"/>
      <c r="C57" s="12" t="s">
        <v>18</v>
      </c>
      <c r="D57" s="39" t="s">
        <v>52</v>
      </c>
      <c r="E57" s="24">
        <v>66000.0</v>
      </c>
    </row>
    <row r="58" ht="19.5" customHeight="1">
      <c r="A58" s="8"/>
      <c r="B58" s="22"/>
      <c r="C58" s="12" t="s">
        <v>19</v>
      </c>
      <c r="D58" s="39" t="s">
        <v>52</v>
      </c>
      <c r="E58" s="24">
        <v>66000.0</v>
      </c>
    </row>
    <row r="59" ht="19.5" customHeight="1">
      <c r="A59" s="8"/>
      <c r="B59" s="22"/>
      <c r="C59" s="12" t="s">
        <v>20</v>
      </c>
      <c r="D59" s="39" t="s">
        <v>52</v>
      </c>
      <c r="E59" s="24">
        <v>66000.0</v>
      </c>
    </row>
    <row r="60" ht="19.5" customHeight="1">
      <c r="A60" s="8"/>
      <c r="B60" s="22"/>
      <c r="C60" s="12" t="s">
        <v>21</v>
      </c>
      <c r="D60" s="39" t="s">
        <v>52</v>
      </c>
      <c r="E60" s="24">
        <v>66000.0</v>
      </c>
    </row>
    <row r="61" ht="19.5" customHeight="1">
      <c r="A61" s="8"/>
      <c r="B61" s="22"/>
      <c r="C61" s="12" t="s">
        <v>22</v>
      </c>
      <c r="D61" s="39"/>
      <c r="E61" s="24"/>
    </row>
    <row r="62" ht="19.5" customHeight="1">
      <c r="A62" s="8"/>
      <c r="B62" s="22"/>
      <c r="C62" s="12" t="s">
        <v>23</v>
      </c>
      <c r="D62" s="39"/>
      <c r="E62" s="24"/>
    </row>
    <row r="63" ht="19.5" customHeight="1">
      <c r="A63" s="8"/>
      <c r="B63" s="22"/>
      <c r="C63" s="12"/>
      <c r="D63" s="39"/>
      <c r="E63" s="24">
        <f>sum(E51:E60)</f>
        <v>339000</v>
      </c>
    </row>
    <row r="64" ht="19.5" customHeight="1">
      <c r="A64" s="8"/>
      <c r="B64" s="22"/>
      <c r="C64" s="23"/>
      <c r="D64" s="24"/>
      <c r="E64" s="26"/>
    </row>
    <row r="65" ht="19.5" customHeight="1">
      <c r="A65" s="8"/>
      <c r="B65" s="35">
        <v>2024.0</v>
      </c>
      <c r="C65" s="20" t="s">
        <v>12</v>
      </c>
      <c r="D65" s="24"/>
      <c r="E65" s="26"/>
    </row>
    <row r="66" ht="19.5" customHeight="1">
      <c r="A66" s="8"/>
      <c r="B66" s="35"/>
      <c r="C66" s="23" t="s">
        <v>13</v>
      </c>
      <c r="D66" s="24"/>
      <c r="E66" s="26"/>
    </row>
    <row r="67" ht="19.5" customHeight="1">
      <c r="A67" s="8"/>
      <c r="B67" s="35"/>
      <c r="C67" s="20" t="s">
        <v>14</v>
      </c>
      <c r="D67" s="24"/>
      <c r="E67" s="26"/>
    </row>
    <row r="68" ht="19.5" customHeight="1">
      <c r="A68" s="8"/>
      <c r="B68" s="35"/>
      <c r="C68" s="23" t="s">
        <v>15</v>
      </c>
      <c r="D68" s="24"/>
      <c r="E68" s="26"/>
    </row>
    <row r="69" ht="19.5" customHeight="1">
      <c r="A69" s="8"/>
      <c r="B69" s="35"/>
      <c r="C69" s="20" t="s">
        <v>16</v>
      </c>
      <c r="D69" s="24"/>
      <c r="E69" s="26"/>
    </row>
    <row r="70" ht="19.5" customHeight="1">
      <c r="A70" s="8"/>
      <c r="B70" s="35"/>
      <c r="C70" s="23" t="s">
        <v>17</v>
      </c>
      <c r="D70" s="12" t="s">
        <v>54</v>
      </c>
      <c r="E70" s="26">
        <v>150154.0</v>
      </c>
    </row>
    <row r="71" ht="19.5" customHeight="1">
      <c r="A71" s="8"/>
      <c r="B71" s="35"/>
      <c r="C71" s="23"/>
      <c r="D71" s="12" t="s">
        <v>54</v>
      </c>
      <c r="E71" s="26">
        <v>150050.0</v>
      </c>
    </row>
    <row r="72" ht="19.5" customHeight="1">
      <c r="A72" s="8"/>
      <c r="B72" s="35"/>
      <c r="C72" s="20" t="s">
        <v>18</v>
      </c>
    </row>
    <row r="73" ht="19.5" customHeight="1">
      <c r="A73" s="8"/>
      <c r="B73" s="35"/>
      <c r="C73" s="23" t="s">
        <v>19</v>
      </c>
      <c r="D73" s="24"/>
      <c r="E73" s="26"/>
    </row>
    <row r="74" ht="19.5" customHeight="1">
      <c r="A74" s="8"/>
      <c r="B74" s="35"/>
      <c r="C74" s="20" t="s">
        <v>20</v>
      </c>
      <c r="D74" s="24"/>
      <c r="E74" s="26"/>
    </row>
    <row r="75" ht="19.5" customHeight="1">
      <c r="A75" s="8"/>
      <c r="B75" s="35"/>
      <c r="C75" s="23" t="s">
        <v>21</v>
      </c>
      <c r="D75" s="24"/>
      <c r="E75" s="26"/>
    </row>
    <row r="76" ht="19.5" customHeight="1">
      <c r="A76" s="8"/>
      <c r="B76" s="35"/>
      <c r="C76" s="20" t="s">
        <v>22</v>
      </c>
      <c r="D76" s="24"/>
      <c r="E76" s="26"/>
    </row>
    <row r="77" ht="19.5" customHeight="1">
      <c r="A77" s="8"/>
      <c r="B77" s="35"/>
      <c r="C77" s="23" t="s">
        <v>23</v>
      </c>
      <c r="D77" s="12" t="s">
        <v>54</v>
      </c>
      <c r="E77" s="26">
        <v>66000.0</v>
      </c>
    </row>
    <row r="78" ht="19.5" customHeight="1">
      <c r="A78" s="8"/>
      <c r="B78" s="35"/>
      <c r="C78" s="23"/>
      <c r="D78" s="24"/>
      <c r="E78" s="26">
        <f>sum(E65:E77)</f>
        <v>366204</v>
      </c>
    </row>
    <row r="79" ht="19.5" customHeight="1">
      <c r="A79" s="8"/>
      <c r="B79" s="35"/>
      <c r="C79" s="23"/>
      <c r="D79" s="24"/>
      <c r="E79" s="26"/>
    </row>
    <row r="80" ht="19.5" customHeight="1">
      <c r="A80" s="8"/>
      <c r="B80" s="35">
        <v>2025.0</v>
      </c>
      <c r="C80" s="20" t="s">
        <v>12</v>
      </c>
      <c r="D80" s="12" t="s">
        <v>54</v>
      </c>
      <c r="E80" s="26">
        <v>66000.0</v>
      </c>
    </row>
    <row r="81" ht="19.5" customHeight="1">
      <c r="A81" s="8"/>
      <c r="B81" s="22"/>
      <c r="C81" s="14" t="s">
        <v>13</v>
      </c>
      <c r="D81" s="24"/>
      <c r="E81" s="26"/>
    </row>
    <row r="82" ht="19.5" customHeight="1">
      <c r="A82" s="8"/>
      <c r="B82" s="22"/>
      <c r="C82" s="12" t="s">
        <v>14</v>
      </c>
      <c r="D82" s="12" t="s">
        <v>54</v>
      </c>
      <c r="E82" s="26">
        <v>66000.0</v>
      </c>
    </row>
    <row r="83" ht="19.5" customHeight="1">
      <c r="A83" s="8"/>
      <c r="B83" s="22"/>
      <c r="C83" s="12" t="s">
        <v>15</v>
      </c>
      <c r="D83" s="12" t="s">
        <v>54</v>
      </c>
      <c r="E83" s="26">
        <v>66000.0</v>
      </c>
    </row>
    <row r="84" ht="19.5" customHeight="1">
      <c r="A84" s="8"/>
      <c r="B84" s="22"/>
      <c r="C84" s="12" t="s">
        <v>16</v>
      </c>
      <c r="D84" s="12" t="s">
        <v>54</v>
      </c>
      <c r="E84" s="26">
        <v>66000.0</v>
      </c>
    </row>
    <row r="85" ht="19.5" customHeight="1">
      <c r="A85" s="27"/>
      <c r="B85" s="25"/>
      <c r="C85" s="12" t="s">
        <v>17</v>
      </c>
      <c r="D85" s="20"/>
      <c r="E85" s="28"/>
    </row>
    <row r="86" ht="19.5" customHeight="1">
      <c r="A86" s="8"/>
      <c r="B86" s="22"/>
      <c r="C86" s="12" t="s">
        <v>18</v>
      </c>
      <c r="D86" s="23"/>
      <c r="E86" s="29"/>
    </row>
    <row r="87" ht="19.5" customHeight="1">
      <c r="A87" s="8"/>
      <c r="B87" s="25"/>
      <c r="C87" s="12" t="s">
        <v>19</v>
      </c>
      <c r="D87" s="20"/>
      <c r="E87" s="28"/>
    </row>
    <row r="88" ht="19.5" customHeight="1">
      <c r="A88" s="8"/>
      <c r="B88" s="22"/>
      <c r="C88" s="12" t="s">
        <v>20</v>
      </c>
      <c r="D88" s="23"/>
      <c r="E88" s="29"/>
    </row>
    <row r="89" ht="19.5" customHeight="1">
      <c r="A89" s="8"/>
      <c r="B89" s="25"/>
      <c r="C89" s="12" t="s">
        <v>21</v>
      </c>
      <c r="D89" s="20"/>
      <c r="E89" s="28"/>
    </row>
    <row r="90" ht="19.5" customHeight="1">
      <c r="A90" s="8"/>
      <c r="B90" s="22"/>
      <c r="C90" s="12" t="s">
        <v>22</v>
      </c>
      <c r="D90" s="23"/>
      <c r="E90" s="29"/>
    </row>
    <row r="91" ht="19.5" customHeight="1">
      <c r="A91" s="8"/>
      <c r="C91" s="12" t="s">
        <v>23</v>
      </c>
      <c r="D91" s="30"/>
      <c r="E91" s="31"/>
    </row>
    <row r="92" ht="19.5" customHeight="1">
      <c r="A92" s="8"/>
      <c r="B92" s="16"/>
      <c r="C92" s="12"/>
      <c r="D92" s="30"/>
      <c r="E92" s="31"/>
    </row>
    <row r="93" ht="19.5" customHeight="1">
      <c r="A93" s="8"/>
      <c r="B93" s="16"/>
      <c r="C93" s="12"/>
      <c r="D93" s="30"/>
      <c r="E93" s="31"/>
    </row>
    <row r="94" ht="19.5" customHeight="1">
      <c r="A94" s="8"/>
      <c r="B94" s="16" t="s">
        <v>8</v>
      </c>
      <c r="C94" s="12"/>
      <c r="D94" s="30"/>
      <c r="E94" s="31">
        <f>SUM(E5:E91)</f>
        <v>2929980</v>
      </c>
    </row>
  </sheetData>
  <mergeCells count="2">
    <mergeCell ref="B1:E1"/>
    <mergeCell ref="B3:E3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4" width="26.88"/>
    <col customWidth="1" min="5" max="5" width="25.13"/>
  </cols>
  <sheetData>
    <row r="1" ht="70.5" customHeight="1">
      <c r="A1" s="1"/>
      <c r="B1" s="2" t="s">
        <v>0</v>
      </c>
    </row>
    <row r="2" ht="12.0" customHeight="1">
      <c r="A2" s="1"/>
      <c r="B2" s="3"/>
      <c r="C2" s="3"/>
      <c r="D2" s="3"/>
      <c r="E2" s="3"/>
    </row>
    <row r="3" ht="30.0" customHeight="1">
      <c r="A3" s="4"/>
      <c r="B3" s="5"/>
    </row>
    <row r="4" ht="24.0" customHeight="1">
      <c r="A4" s="6"/>
      <c r="B4" s="7" t="s">
        <v>9</v>
      </c>
      <c r="C4" s="7" t="s">
        <v>10</v>
      </c>
      <c r="D4" s="7" t="s">
        <v>24</v>
      </c>
      <c r="E4" s="18" t="s">
        <v>2</v>
      </c>
    </row>
    <row r="5" ht="19.5" customHeight="1">
      <c r="A5" s="8"/>
      <c r="B5" s="19" t="s">
        <v>11</v>
      </c>
      <c r="C5" s="20" t="s">
        <v>12</v>
      </c>
      <c r="D5" s="40" t="s">
        <v>55</v>
      </c>
      <c r="E5" s="41">
        <v>5000.0</v>
      </c>
    </row>
    <row r="6" ht="19.5" customHeight="1">
      <c r="A6" s="8"/>
      <c r="B6" s="19"/>
      <c r="C6" s="20"/>
      <c r="D6" s="40" t="s">
        <v>56</v>
      </c>
      <c r="E6" s="41">
        <v>5000.0</v>
      </c>
    </row>
    <row r="7" ht="19.5" customHeight="1">
      <c r="A7" s="8"/>
      <c r="B7" s="19"/>
      <c r="C7" s="20"/>
      <c r="D7" s="42" t="s">
        <v>57</v>
      </c>
      <c r="E7" s="41">
        <v>2500.0</v>
      </c>
    </row>
    <row r="8" ht="19.5" customHeight="1">
      <c r="A8" s="8"/>
      <c r="B8" s="19"/>
      <c r="C8" s="20"/>
      <c r="D8" s="40" t="s">
        <v>58</v>
      </c>
      <c r="E8" s="41">
        <v>5000.0</v>
      </c>
    </row>
    <row r="9" ht="19.5" customHeight="1">
      <c r="A9" s="8"/>
      <c r="B9" s="19"/>
      <c r="C9" s="20"/>
      <c r="D9" s="40" t="s">
        <v>59</v>
      </c>
      <c r="E9" s="41">
        <v>5000.0</v>
      </c>
    </row>
    <row r="10" ht="19.5" customHeight="1">
      <c r="A10" s="8"/>
      <c r="B10" s="19"/>
      <c r="C10" s="20"/>
      <c r="D10" s="42" t="s">
        <v>60</v>
      </c>
      <c r="E10" s="41">
        <v>5000.0</v>
      </c>
    </row>
    <row r="11" ht="19.5" customHeight="1">
      <c r="A11" s="8"/>
      <c r="B11" s="19"/>
      <c r="C11" s="20"/>
      <c r="D11" s="40" t="s">
        <v>61</v>
      </c>
      <c r="E11" s="41">
        <v>5000.0</v>
      </c>
    </row>
    <row r="12" ht="19.5" customHeight="1">
      <c r="A12" s="8"/>
      <c r="B12" s="19"/>
      <c r="C12" s="20"/>
      <c r="D12" s="42" t="s">
        <v>62</v>
      </c>
      <c r="E12" s="41">
        <v>2500.0</v>
      </c>
    </row>
    <row r="13" ht="19.5" customHeight="1">
      <c r="A13" s="8"/>
      <c r="B13" s="19"/>
      <c r="C13" s="20"/>
      <c r="D13" s="40" t="s">
        <v>63</v>
      </c>
      <c r="E13" s="41">
        <v>3000.0</v>
      </c>
    </row>
    <row r="14" ht="19.5" customHeight="1">
      <c r="A14" s="8"/>
      <c r="B14" s="19"/>
      <c r="C14" s="20"/>
      <c r="D14" s="20"/>
      <c r="E14" s="21"/>
    </row>
    <row r="15" ht="19.5" customHeight="1">
      <c r="A15" s="8"/>
      <c r="B15" s="22"/>
      <c r="C15" s="23" t="s">
        <v>13</v>
      </c>
      <c r="D15" s="40" t="s">
        <v>55</v>
      </c>
      <c r="E15" s="43">
        <v>5000.0</v>
      </c>
    </row>
    <row r="16" ht="19.5" customHeight="1">
      <c r="A16" s="8"/>
      <c r="B16" s="22"/>
      <c r="C16" s="23"/>
      <c r="D16" s="40" t="s">
        <v>56</v>
      </c>
      <c r="E16" s="43">
        <v>5000.0</v>
      </c>
    </row>
    <row r="17" ht="19.5" customHeight="1">
      <c r="A17" s="8"/>
      <c r="B17" s="22"/>
      <c r="C17" s="23"/>
      <c r="D17" s="42" t="s">
        <v>57</v>
      </c>
      <c r="E17" s="43">
        <v>5500.0</v>
      </c>
    </row>
    <row r="18" ht="19.5" customHeight="1">
      <c r="A18" s="8"/>
      <c r="B18" s="22"/>
      <c r="C18" s="23"/>
      <c r="D18" s="40" t="s">
        <v>59</v>
      </c>
      <c r="E18" s="43">
        <v>5000.0</v>
      </c>
    </row>
    <row r="19" ht="19.5" customHeight="1">
      <c r="A19" s="8"/>
      <c r="B19" s="22"/>
      <c r="C19" s="23"/>
      <c r="D19" s="42" t="s">
        <v>62</v>
      </c>
      <c r="E19" s="43">
        <v>2500.0</v>
      </c>
    </row>
    <row r="20" ht="19.5" customHeight="1">
      <c r="A20" s="8"/>
      <c r="B20" s="22"/>
      <c r="C20" s="23"/>
      <c r="D20" s="40" t="s">
        <v>63</v>
      </c>
      <c r="E20" s="43">
        <v>3000.0</v>
      </c>
    </row>
    <row r="21" ht="19.5" customHeight="1">
      <c r="A21" s="8"/>
      <c r="B21" s="22"/>
      <c r="C21" s="23"/>
      <c r="D21" s="23"/>
      <c r="E21" s="24"/>
    </row>
    <row r="22" ht="19.5" customHeight="1">
      <c r="A22" s="8"/>
      <c r="B22" s="25"/>
      <c r="C22" s="20" t="s">
        <v>14</v>
      </c>
      <c r="D22" s="40" t="s">
        <v>55</v>
      </c>
      <c r="E22" s="41">
        <v>5000.0</v>
      </c>
    </row>
    <row r="23" ht="19.5" customHeight="1">
      <c r="A23" s="8"/>
      <c r="B23" s="25"/>
      <c r="C23" s="20"/>
      <c r="D23" s="40" t="s">
        <v>56</v>
      </c>
      <c r="E23" s="41">
        <v>5000.0</v>
      </c>
    </row>
    <row r="24" ht="19.5" customHeight="1">
      <c r="A24" s="8"/>
      <c r="B24" s="25"/>
      <c r="C24" s="20"/>
      <c r="D24" s="42" t="s">
        <v>57</v>
      </c>
      <c r="E24" s="41">
        <v>3000.0</v>
      </c>
    </row>
    <row r="25" ht="19.5" customHeight="1">
      <c r="A25" s="8"/>
      <c r="B25" s="25"/>
      <c r="C25" s="20"/>
      <c r="D25" s="40" t="s">
        <v>58</v>
      </c>
      <c r="E25" s="41">
        <v>6000.0</v>
      </c>
    </row>
    <row r="26" ht="19.5" customHeight="1">
      <c r="A26" s="8"/>
      <c r="B26" s="25"/>
      <c r="C26" s="20"/>
      <c r="D26" s="40" t="s">
        <v>59</v>
      </c>
      <c r="E26" s="41">
        <v>5000.0</v>
      </c>
    </row>
    <row r="27" ht="19.5" customHeight="1">
      <c r="A27" s="8"/>
      <c r="B27" s="25"/>
      <c r="C27" s="20"/>
      <c r="D27" s="40" t="s">
        <v>61</v>
      </c>
      <c r="E27" s="41">
        <v>6000.0</v>
      </c>
    </row>
    <row r="28" ht="19.5" customHeight="1">
      <c r="A28" s="8"/>
      <c r="B28" s="25"/>
      <c r="C28" s="20"/>
      <c r="D28" s="42" t="s">
        <v>62</v>
      </c>
      <c r="E28" s="41">
        <v>3000.0</v>
      </c>
    </row>
    <row r="29" ht="19.5" customHeight="1">
      <c r="A29" s="8"/>
      <c r="B29" s="25"/>
      <c r="C29" s="20"/>
      <c r="D29" s="40" t="s">
        <v>63</v>
      </c>
      <c r="E29" s="41">
        <v>3000.0</v>
      </c>
    </row>
    <row r="30" ht="19.5" customHeight="1">
      <c r="A30" s="8"/>
      <c r="B30" s="25"/>
      <c r="C30" s="20"/>
      <c r="D30" s="40"/>
      <c r="E30" s="21"/>
    </row>
    <row r="31" ht="19.5" customHeight="1">
      <c r="A31" s="8"/>
      <c r="B31" s="22"/>
      <c r="C31" s="23" t="s">
        <v>15</v>
      </c>
      <c r="D31" s="40" t="s">
        <v>55</v>
      </c>
      <c r="E31" s="43">
        <v>10000.0</v>
      </c>
    </row>
    <row r="32" ht="19.5" customHeight="1">
      <c r="A32" s="8"/>
      <c r="B32" s="22"/>
      <c r="C32" s="23"/>
      <c r="D32" s="42" t="s">
        <v>57</v>
      </c>
      <c r="E32" s="43">
        <v>2000.0</v>
      </c>
    </row>
    <row r="33" ht="19.5" customHeight="1">
      <c r="A33" s="8"/>
      <c r="B33" s="22"/>
      <c r="C33" s="23"/>
      <c r="D33" s="40" t="s">
        <v>58</v>
      </c>
      <c r="E33" s="43">
        <v>5000.0</v>
      </c>
    </row>
    <row r="34" ht="19.5" customHeight="1">
      <c r="A34" s="8"/>
      <c r="B34" s="22"/>
      <c r="C34" s="23"/>
      <c r="D34" s="40" t="s">
        <v>59</v>
      </c>
      <c r="E34" s="43">
        <v>5000.0</v>
      </c>
    </row>
    <row r="35" ht="19.5" customHeight="1">
      <c r="A35" s="8"/>
      <c r="B35" s="22"/>
      <c r="C35" s="23"/>
      <c r="D35" s="42" t="s">
        <v>62</v>
      </c>
      <c r="E35" s="43">
        <v>2000.0</v>
      </c>
    </row>
    <row r="36" ht="19.5" customHeight="1">
      <c r="A36" s="8"/>
      <c r="B36" s="22"/>
      <c r="C36" s="23"/>
      <c r="D36" s="40" t="s">
        <v>63</v>
      </c>
      <c r="E36" s="43">
        <v>3000.0</v>
      </c>
    </row>
    <row r="37" ht="19.5" customHeight="1">
      <c r="A37" s="8"/>
      <c r="B37" s="22"/>
      <c r="C37" s="23"/>
      <c r="D37" s="23"/>
      <c r="E37" s="26"/>
    </row>
    <row r="38" ht="19.5" customHeight="1">
      <c r="A38" s="8"/>
      <c r="B38" s="25"/>
      <c r="C38" s="20" t="s">
        <v>16</v>
      </c>
      <c r="D38" s="42" t="s">
        <v>55</v>
      </c>
      <c r="E38" s="41">
        <v>3000.0</v>
      </c>
    </row>
    <row r="39" ht="19.5" customHeight="1">
      <c r="A39" s="8"/>
      <c r="B39" s="25"/>
      <c r="C39" s="20"/>
      <c r="D39" s="42" t="s">
        <v>56</v>
      </c>
      <c r="E39" s="41">
        <v>9000.0</v>
      </c>
    </row>
    <row r="40" ht="19.5" customHeight="1">
      <c r="A40" s="8"/>
      <c r="B40" s="25"/>
      <c r="C40" s="20"/>
      <c r="D40" s="40" t="s">
        <v>57</v>
      </c>
      <c r="E40" s="41">
        <v>2000.0</v>
      </c>
    </row>
    <row r="41" ht="19.5" customHeight="1">
      <c r="A41" s="8"/>
      <c r="B41" s="25"/>
      <c r="C41" s="20"/>
      <c r="D41" s="42" t="s">
        <v>58</v>
      </c>
      <c r="E41" s="41">
        <v>5000.0</v>
      </c>
    </row>
    <row r="42" ht="19.5" customHeight="1">
      <c r="A42" s="8"/>
      <c r="B42" s="25"/>
      <c r="C42" s="20"/>
      <c r="D42" s="42" t="s">
        <v>59</v>
      </c>
      <c r="E42" s="41">
        <v>5000.0</v>
      </c>
    </row>
    <row r="43" ht="19.5" customHeight="1">
      <c r="A43" s="8"/>
      <c r="B43" s="25"/>
      <c r="C43" s="20"/>
      <c r="D43" s="40" t="s">
        <v>60</v>
      </c>
      <c r="E43" s="41">
        <v>5000.0</v>
      </c>
    </row>
    <row r="44" ht="19.5" customHeight="1">
      <c r="A44" s="8"/>
      <c r="B44" s="25"/>
      <c r="C44" s="20"/>
      <c r="D44" s="40" t="s">
        <v>62</v>
      </c>
      <c r="E44" s="41">
        <v>4000.0</v>
      </c>
    </row>
    <row r="45" ht="19.5" customHeight="1">
      <c r="A45" s="8"/>
      <c r="B45" s="25"/>
      <c r="C45" s="20"/>
      <c r="D45" s="42" t="s">
        <v>63</v>
      </c>
      <c r="E45" s="41">
        <v>3000.0</v>
      </c>
    </row>
    <row r="46" ht="19.5" customHeight="1">
      <c r="A46" s="8"/>
      <c r="B46" s="25"/>
      <c r="C46" s="20"/>
      <c r="D46" s="20"/>
      <c r="E46" s="26"/>
    </row>
    <row r="47" ht="19.5" customHeight="1">
      <c r="A47" s="8"/>
      <c r="B47" s="22"/>
      <c r="C47" s="23" t="s">
        <v>17</v>
      </c>
      <c r="D47" s="44" t="s">
        <v>55</v>
      </c>
      <c r="E47" s="45">
        <v>5000.0</v>
      </c>
    </row>
    <row r="48" ht="19.5" customHeight="1">
      <c r="A48" s="27"/>
      <c r="B48" s="25"/>
      <c r="C48" s="20"/>
      <c r="D48" s="44" t="s">
        <v>56</v>
      </c>
      <c r="E48" s="46">
        <v>5000.0</v>
      </c>
    </row>
    <row r="49" ht="19.5" customHeight="1">
      <c r="A49" s="27"/>
      <c r="B49" s="25"/>
      <c r="C49" s="20"/>
      <c r="D49" s="47" t="s">
        <v>57</v>
      </c>
      <c r="E49" s="46">
        <v>3000.0</v>
      </c>
    </row>
    <row r="50" ht="19.5" customHeight="1">
      <c r="A50" s="27"/>
      <c r="B50" s="25"/>
      <c r="C50" s="20"/>
      <c r="D50" s="44" t="s">
        <v>58</v>
      </c>
      <c r="E50" s="46">
        <v>5000.0</v>
      </c>
    </row>
    <row r="51" ht="19.5" customHeight="1">
      <c r="A51" s="27"/>
      <c r="B51" s="25"/>
      <c r="C51" s="20"/>
      <c r="D51" s="44" t="s">
        <v>59</v>
      </c>
      <c r="E51" s="46">
        <v>5000.0</v>
      </c>
    </row>
    <row r="52" ht="19.5" customHeight="1">
      <c r="A52" s="27"/>
      <c r="B52" s="25"/>
      <c r="C52" s="20"/>
      <c r="D52" s="48" t="s">
        <v>61</v>
      </c>
      <c r="E52" s="46">
        <v>5000.0</v>
      </c>
    </row>
    <row r="53" ht="19.5" customHeight="1">
      <c r="A53" s="27"/>
      <c r="B53" s="25"/>
      <c r="C53" s="20"/>
      <c r="D53" s="44" t="s">
        <v>62</v>
      </c>
      <c r="E53" s="46">
        <v>2000.0</v>
      </c>
    </row>
    <row r="54" ht="19.5" customHeight="1">
      <c r="A54" s="27"/>
      <c r="B54" s="25"/>
      <c r="C54" s="20"/>
      <c r="D54" s="9" t="s">
        <v>63</v>
      </c>
      <c r="E54" s="46">
        <v>3000.0</v>
      </c>
    </row>
    <row r="55" ht="19.5" customHeight="1">
      <c r="A55" s="27"/>
      <c r="B55" s="25"/>
      <c r="C55" s="20"/>
      <c r="D55" s="9"/>
      <c r="E55" s="28"/>
    </row>
    <row r="56" ht="19.5" customHeight="1">
      <c r="A56" s="27"/>
      <c r="B56" s="25"/>
      <c r="C56" s="20" t="s">
        <v>18</v>
      </c>
      <c r="D56" s="44" t="s">
        <v>55</v>
      </c>
      <c r="E56" s="46">
        <v>3000.0</v>
      </c>
    </row>
    <row r="57" ht="19.5" customHeight="1">
      <c r="A57" s="8"/>
      <c r="B57" s="22"/>
      <c r="C57" s="23"/>
      <c r="D57" s="44" t="s">
        <v>56</v>
      </c>
      <c r="E57" s="49">
        <v>5000.0</v>
      </c>
    </row>
    <row r="58" ht="19.5" customHeight="1">
      <c r="A58" s="8"/>
      <c r="B58" s="22"/>
      <c r="C58" s="23"/>
      <c r="D58" s="47" t="s">
        <v>57</v>
      </c>
      <c r="E58" s="49">
        <v>3000.0</v>
      </c>
    </row>
    <row r="59" ht="19.5" customHeight="1">
      <c r="A59" s="8"/>
      <c r="B59" s="22"/>
      <c r="C59" s="23"/>
      <c r="D59" s="47" t="s">
        <v>64</v>
      </c>
      <c r="E59" s="49">
        <v>3000.0</v>
      </c>
    </row>
    <row r="60" ht="19.5" customHeight="1">
      <c r="A60" s="8"/>
      <c r="B60" s="22"/>
      <c r="C60" s="23"/>
      <c r="D60" s="44" t="s">
        <v>59</v>
      </c>
      <c r="E60" s="49">
        <v>3000.0</v>
      </c>
    </row>
    <row r="61" ht="19.5" customHeight="1">
      <c r="A61" s="8"/>
      <c r="B61" s="22"/>
      <c r="C61" s="23"/>
      <c r="D61" s="44" t="s">
        <v>62</v>
      </c>
      <c r="E61" s="49">
        <v>4000.0</v>
      </c>
    </row>
    <row r="62" ht="19.5" customHeight="1">
      <c r="A62" s="8"/>
      <c r="B62" s="22"/>
      <c r="C62" s="23"/>
      <c r="D62" s="23"/>
      <c r="E62" s="29"/>
    </row>
    <row r="63" ht="19.5" customHeight="1">
      <c r="A63" s="8"/>
      <c r="B63" s="22"/>
      <c r="C63" s="23" t="s">
        <v>19</v>
      </c>
      <c r="D63" s="47" t="s">
        <v>55</v>
      </c>
      <c r="E63" s="50">
        <v>8000.0</v>
      </c>
    </row>
    <row r="64" ht="19.5" customHeight="1">
      <c r="A64" s="8"/>
      <c r="B64" s="25"/>
      <c r="C64" s="20"/>
      <c r="D64" s="47" t="s">
        <v>56</v>
      </c>
      <c r="E64" s="50">
        <v>10000.0</v>
      </c>
    </row>
    <row r="65" ht="19.5" customHeight="1">
      <c r="A65" s="8"/>
      <c r="B65" s="25"/>
      <c r="C65" s="20"/>
      <c r="D65" s="44" t="s">
        <v>57</v>
      </c>
      <c r="E65" s="50">
        <v>9000.0</v>
      </c>
    </row>
    <row r="66" ht="19.5" customHeight="1">
      <c r="A66" s="8"/>
      <c r="B66" s="25"/>
      <c r="C66" s="20"/>
      <c r="D66" s="47" t="s">
        <v>58</v>
      </c>
      <c r="E66" s="50">
        <v>5000.0</v>
      </c>
    </row>
    <row r="67" ht="19.5" customHeight="1">
      <c r="A67" s="8"/>
      <c r="B67" s="25"/>
      <c r="C67" s="20"/>
      <c r="D67" s="44" t="s">
        <v>64</v>
      </c>
      <c r="E67" s="50">
        <v>3000.0</v>
      </c>
    </row>
    <row r="68" ht="19.5" customHeight="1">
      <c r="A68" s="8"/>
      <c r="B68" s="25"/>
      <c r="C68" s="20"/>
      <c r="D68" s="47" t="s">
        <v>59</v>
      </c>
      <c r="E68" s="50">
        <v>5000.0</v>
      </c>
    </row>
    <row r="69" ht="19.5" customHeight="1">
      <c r="A69" s="8"/>
      <c r="B69" s="25"/>
      <c r="C69" s="20"/>
      <c r="D69" s="44" t="s">
        <v>60</v>
      </c>
      <c r="E69" s="50">
        <v>5000.0</v>
      </c>
    </row>
    <row r="70" ht="19.5" customHeight="1">
      <c r="A70" s="8"/>
      <c r="B70" s="25"/>
      <c r="C70" s="20"/>
      <c r="D70" s="9" t="s">
        <v>62</v>
      </c>
      <c r="E70" s="50">
        <v>6000.0</v>
      </c>
    </row>
    <row r="71" ht="19.5" customHeight="1">
      <c r="A71" s="8"/>
      <c r="B71" s="25"/>
      <c r="C71" s="20"/>
      <c r="D71" s="20"/>
      <c r="E71" s="28"/>
    </row>
    <row r="72" ht="19.5" customHeight="1">
      <c r="A72" s="8"/>
      <c r="B72" s="25"/>
      <c r="C72" s="20" t="s">
        <v>20</v>
      </c>
      <c r="D72" s="44" t="s">
        <v>55</v>
      </c>
      <c r="E72" s="51">
        <v>3000.0</v>
      </c>
    </row>
    <row r="73" ht="19.5" customHeight="1">
      <c r="A73" s="8"/>
      <c r="B73" s="22"/>
      <c r="C73" s="23"/>
      <c r="D73" s="47" t="s">
        <v>65</v>
      </c>
      <c r="E73" s="51">
        <v>4000.0</v>
      </c>
    </row>
    <row r="74" ht="19.5" customHeight="1">
      <c r="A74" s="8"/>
      <c r="B74" s="22"/>
      <c r="C74" s="23"/>
      <c r="D74" s="44" t="s">
        <v>56</v>
      </c>
      <c r="E74" s="51">
        <v>7000.0</v>
      </c>
    </row>
    <row r="75" ht="19.5" customHeight="1">
      <c r="A75" s="8"/>
      <c r="B75" s="22"/>
      <c r="C75" s="23"/>
      <c r="D75" s="47" t="s">
        <v>57</v>
      </c>
      <c r="E75" s="51">
        <v>3000.0</v>
      </c>
    </row>
    <row r="76" ht="19.5" customHeight="1">
      <c r="A76" s="8"/>
      <c r="B76" s="22"/>
      <c r="C76" s="23"/>
      <c r="D76" s="44" t="s">
        <v>58</v>
      </c>
      <c r="E76" s="51">
        <v>5000.0</v>
      </c>
    </row>
    <row r="77" ht="19.5" customHeight="1">
      <c r="A77" s="8"/>
      <c r="B77" s="22"/>
      <c r="C77" s="23"/>
      <c r="D77" s="47" t="s">
        <v>64</v>
      </c>
      <c r="E77" s="51">
        <v>13000.0</v>
      </c>
    </row>
    <row r="78" ht="19.5" customHeight="1">
      <c r="A78" s="8"/>
      <c r="B78" s="22"/>
      <c r="C78" s="23"/>
      <c r="D78" s="48" t="s">
        <v>59</v>
      </c>
      <c r="E78" s="51">
        <v>3100.0</v>
      </c>
    </row>
    <row r="79" ht="19.5" customHeight="1">
      <c r="A79" s="8"/>
      <c r="B79" s="22"/>
      <c r="C79" s="23"/>
      <c r="D79" s="48" t="s">
        <v>60</v>
      </c>
      <c r="E79" s="51">
        <v>5000.0</v>
      </c>
    </row>
    <row r="80" ht="19.5" customHeight="1">
      <c r="A80" s="8"/>
      <c r="B80" s="22"/>
      <c r="C80" s="23"/>
      <c r="D80" s="23"/>
      <c r="E80" s="29"/>
    </row>
    <row r="81" ht="19.5" customHeight="1">
      <c r="A81" s="8"/>
      <c r="B81" s="22"/>
      <c r="C81" s="23" t="s">
        <v>21</v>
      </c>
      <c r="D81" s="44" t="s">
        <v>55</v>
      </c>
      <c r="E81" s="50">
        <v>5000.0</v>
      </c>
    </row>
    <row r="82" ht="19.5" customHeight="1">
      <c r="A82" s="8"/>
      <c r="B82" s="25"/>
      <c r="C82" s="20"/>
      <c r="D82" s="47" t="s">
        <v>65</v>
      </c>
      <c r="E82" s="50">
        <v>6000.0</v>
      </c>
    </row>
    <row r="83" ht="19.5" customHeight="1">
      <c r="A83" s="8"/>
      <c r="B83" s="25"/>
      <c r="C83" s="20"/>
      <c r="D83" s="44" t="s">
        <v>56</v>
      </c>
      <c r="E83" s="50">
        <v>10000.0</v>
      </c>
    </row>
    <row r="84" ht="19.5" customHeight="1">
      <c r="A84" s="8"/>
      <c r="B84" s="25"/>
      <c r="C84" s="20"/>
      <c r="D84" s="44" t="s">
        <v>57</v>
      </c>
      <c r="E84" s="50">
        <v>3000.0</v>
      </c>
    </row>
    <row r="85" ht="19.5" customHeight="1">
      <c r="A85" s="8"/>
      <c r="B85" s="25"/>
      <c r="C85" s="20"/>
      <c r="D85" s="47" t="s">
        <v>58</v>
      </c>
      <c r="E85" s="50">
        <v>5000.0</v>
      </c>
    </row>
    <row r="86" ht="19.5" customHeight="1">
      <c r="A86" s="8"/>
      <c r="B86" s="25"/>
      <c r="C86" s="20"/>
      <c r="D86" s="44" t="s">
        <v>64</v>
      </c>
      <c r="E86" s="50">
        <v>3000.0</v>
      </c>
    </row>
    <row r="87" ht="19.5" customHeight="1">
      <c r="A87" s="8"/>
      <c r="B87" s="25"/>
      <c r="C87" s="20"/>
      <c r="D87" s="20"/>
      <c r="E87" s="28"/>
    </row>
    <row r="88" ht="19.5" customHeight="1">
      <c r="A88" s="8"/>
      <c r="B88" s="25"/>
      <c r="C88" s="20" t="s">
        <v>22</v>
      </c>
      <c r="D88" s="48" t="s">
        <v>55</v>
      </c>
      <c r="E88" s="51">
        <v>10000.0</v>
      </c>
    </row>
    <row r="89" ht="19.5" customHeight="1">
      <c r="A89" s="8"/>
      <c r="B89" s="22"/>
      <c r="C89" s="23"/>
      <c r="D89" s="48" t="s">
        <v>65</v>
      </c>
      <c r="E89" s="51">
        <v>6000.0</v>
      </c>
    </row>
    <row r="90" ht="19.5" customHeight="1">
      <c r="A90" s="8"/>
      <c r="B90" s="22"/>
      <c r="C90" s="23"/>
      <c r="D90" s="48" t="s">
        <v>56</v>
      </c>
      <c r="E90" s="51">
        <v>5000.0</v>
      </c>
    </row>
    <row r="91" ht="19.5" customHeight="1">
      <c r="A91" s="8"/>
      <c r="B91" s="22"/>
      <c r="C91" s="23"/>
      <c r="D91" s="48" t="s">
        <v>59</v>
      </c>
      <c r="E91" s="51">
        <v>8000.0</v>
      </c>
    </row>
    <row r="92" ht="19.5" customHeight="1">
      <c r="A92" s="8"/>
      <c r="B92" s="22"/>
      <c r="C92" s="23"/>
      <c r="D92" s="48" t="s">
        <v>57</v>
      </c>
      <c r="E92" s="51">
        <v>6000.0</v>
      </c>
    </row>
    <row r="93" ht="19.5" customHeight="1">
      <c r="A93" s="8"/>
      <c r="B93" s="22"/>
      <c r="C93" s="23"/>
      <c r="D93" s="48" t="s">
        <v>58</v>
      </c>
      <c r="E93" s="51">
        <v>5000.0</v>
      </c>
    </row>
    <row r="94" ht="19.5" customHeight="1">
      <c r="A94" s="8"/>
      <c r="B94" s="22"/>
      <c r="C94" s="23"/>
      <c r="D94" s="48" t="s">
        <v>64</v>
      </c>
      <c r="E94" s="51">
        <v>3000.0</v>
      </c>
    </row>
    <row r="95" ht="19.5" customHeight="1">
      <c r="A95" s="8"/>
      <c r="B95" s="22"/>
      <c r="C95" s="23"/>
      <c r="D95" s="48" t="s">
        <v>61</v>
      </c>
      <c r="E95" s="51">
        <v>4000.0</v>
      </c>
    </row>
    <row r="96" ht="19.5" customHeight="1">
      <c r="A96" s="8"/>
      <c r="B96" s="22"/>
      <c r="C96" s="23"/>
      <c r="D96" s="48" t="s">
        <v>66</v>
      </c>
      <c r="E96" s="51">
        <v>5000.0</v>
      </c>
    </row>
    <row r="97" ht="19.5" customHeight="1">
      <c r="A97" s="8"/>
      <c r="B97" s="22"/>
      <c r="C97" s="23"/>
      <c r="D97" s="48"/>
      <c r="E97" s="29"/>
    </row>
    <row r="98" ht="19.5" customHeight="1">
      <c r="A98" s="8"/>
      <c r="B98" s="22"/>
      <c r="C98" s="23" t="s">
        <v>23</v>
      </c>
      <c r="D98" s="48" t="s">
        <v>67</v>
      </c>
      <c r="E98" s="11">
        <v>3000.0</v>
      </c>
    </row>
    <row r="99" ht="19.5" customHeight="1">
      <c r="A99" s="8"/>
      <c r="B99" s="22"/>
      <c r="C99" s="23"/>
      <c r="D99" s="48" t="s">
        <v>58</v>
      </c>
      <c r="E99" s="52">
        <v>5000.0</v>
      </c>
    </row>
    <row r="100" ht="19.5" customHeight="1">
      <c r="A100" s="8"/>
      <c r="B100" s="22"/>
      <c r="C100" s="23"/>
      <c r="D100" s="48" t="s">
        <v>57</v>
      </c>
      <c r="E100" s="52">
        <v>6000.0</v>
      </c>
    </row>
    <row r="101" ht="19.5" customHeight="1">
      <c r="A101" s="8"/>
      <c r="B101" s="22"/>
      <c r="C101" s="23"/>
      <c r="D101" s="48" t="s">
        <v>59</v>
      </c>
      <c r="E101" s="52">
        <v>5000.0</v>
      </c>
    </row>
    <row r="102" ht="19.5" customHeight="1">
      <c r="A102" s="8"/>
      <c r="B102" s="22"/>
      <c r="C102" s="23"/>
      <c r="D102" s="48" t="s">
        <v>68</v>
      </c>
      <c r="E102" s="52">
        <v>5000.0</v>
      </c>
    </row>
    <row r="103" ht="19.5" customHeight="1">
      <c r="A103" s="8"/>
      <c r="B103" s="22"/>
      <c r="C103" s="23"/>
      <c r="D103" s="48" t="s">
        <v>65</v>
      </c>
      <c r="E103" s="52">
        <v>3000.0</v>
      </c>
    </row>
    <row r="104" ht="19.5" customHeight="1">
      <c r="A104" s="8"/>
      <c r="B104" s="22"/>
      <c r="C104" s="23"/>
      <c r="D104" s="48" t="s">
        <v>56</v>
      </c>
      <c r="E104" s="52">
        <v>5000.0</v>
      </c>
    </row>
    <row r="105" ht="19.5" customHeight="1">
      <c r="A105" s="8"/>
      <c r="B105" s="22"/>
      <c r="C105" s="23"/>
      <c r="D105" s="48" t="s">
        <v>64</v>
      </c>
      <c r="E105" s="52">
        <v>3000.0</v>
      </c>
    </row>
    <row r="106" ht="19.5" customHeight="1">
      <c r="A106" s="8"/>
      <c r="B106" s="22"/>
      <c r="C106" s="23"/>
      <c r="D106" s="23"/>
      <c r="E106" s="29"/>
    </row>
    <row r="107" ht="19.5" customHeight="1">
      <c r="A107" s="8"/>
      <c r="B107" s="16" t="s">
        <v>8</v>
      </c>
      <c r="C107" s="30"/>
      <c r="D107" s="30"/>
      <c r="E107" s="53">
        <f>SUM(E5:E98)</f>
        <v>398100</v>
      </c>
    </row>
  </sheetData>
  <mergeCells count="2">
    <mergeCell ref="B1:E1"/>
    <mergeCell ref="B3:E3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25.13"/>
    <col customWidth="1" min="5" max="5" width="39.13"/>
    <col customWidth="1" min="6" max="6" width="25.13"/>
    <col customWidth="1" min="7" max="7" width="20.75"/>
    <col customWidth="1" min="8" max="8" width="32.0"/>
    <col customWidth="1" min="9" max="9" width="23.13"/>
    <col customWidth="1" min="10" max="10" width="25.38"/>
    <col customWidth="1" min="11" max="11" width="23.25"/>
    <col customWidth="1" min="12" max="12" width="19.63"/>
    <col customWidth="1" min="13" max="13" width="22.5"/>
    <col customWidth="1" min="14" max="14" width="24.63"/>
  </cols>
  <sheetData>
    <row r="1" ht="70.5" customHeight="1">
      <c r="A1" s="1"/>
      <c r="B1" s="2" t="s">
        <v>0</v>
      </c>
      <c r="H1" s="2"/>
      <c r="I1" s="2"/>
      <c r="J1" s="2"/>
      <c r="K1" s="2"/>
      <c r="L1" s="2"/>
      <c r="M1" s="54"/>
      <c r="N1" s="2">
        <v>2025.0</v>
      </c>
    </row>
    <row r="2" ht="12.0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30.0" customHeight="1">
      <c r="A3" s="4"/>
      <c r="B3" s="5"/>
    </row>
    <row r="4" ht="24.0" customHeight="1">
      <c r="A4" s="6"/>
      <c r="B4" s="7" t="s">
        <v>9</v>
      </c>
      <c r="C4" s="7" t="s">
        <v>10</v>
      </c>
      <c r="D4" s="7" t="s">
        <v>2</v>
      </c>
      <c r="E4" s="7" t="s">
        <v>69</v>
      </c>
      <c r="F4" s="7" t="s">
        <v>70</v>
      </c>
      <c r="G4" s="7" t="s">
        <v>71</v>
      </c>
      <c r="H4" s="7" t="s">
        <v>72</v>
      </c>
      <c r="I4" s="7" t="s">
        <v>4</v>
      </c>
      <c r="J4" s="7" t="s">
        <v>73</v>
      </c>
      <c r="K4" s="7" t="s">
        <v>74</v>
      </c>
      <c r="L4" s="7" t="s">
        <v>75</v>
      </c>
      <c r="M4" s="7" t="s">
        <v>76</v>
      </c>
      <c r="N4" s="7" t="s">
        <v>77</v>
      </c>
    </row>
    <row r="5" ht="21.0" customHeight="1">
      <c r="A5" s="55"/>
      <c r="B5" s="56" t="s">
        <v>78</v>
      </c>
      <c r="C5" s="57" t="s">
        <v>12</v>
      </c>
      <c r="D5" s="58">
        <v>1995.0</v>
      </c>
      <c r="E5" s="59" t="s">
        <v>79</v>
      </c>
      <c r="F5" s="57"/>
      <c r="G5" s="57"/>
      <c r="H5" s="57"/>
      <c r="I5" s="57"/>
      <c r="J5" s="57"/>
      <c r="K5" s="57"/>
      <c r="L5" s="57"/>
      <c r="M5" s="57">
        <v>1995.0</v>
      </c>
      <c r="N5" s="57"/>
    </row>
    <row r="6" ht="21.0" customHeight="1">
      <c r="A6" s="55"/>
      <c r="B6" s="56"/>
      <c r="C6" s="57"/>
      <c r="D6" s="57">
        <v>399.0</v>
      </c>
      <c r="E6" s="60" t="s">
        <v>80</v>
      </c>
      <c r="F6" s="57"/>
      <c r="G6" s="57"/>
      <c r="H6" s="57"/>
      <c r="I6" s="57"/>
      <c r="J6" s="57"/>
      <c r="K6" s="57"/>
      <c r="L6" s="57"/>
      <c r="M6" s="57">
        <v>399.0</v>
      </c>
      <c r="N6" s="57"/>
    </row>
    <row r="7" ht="21.0" customHeight="1">
      <c r="A7" s="55"/>
      <c r="B7" s="56"/>
      <c r="C7" s="57"/>
      <c r="D7" s="57">
        <v>506.0</v>
      </c>
      <c r="E7" s="61" t="s">
        <v>81</v>
      </c>
      <c r="F7" s="57"/>
      <c r="G7" s="57"/>
      <c r="H7" s="57"/>
      <c r="I7" s="57"/>
      <c r="J7" s="57"/>
      <c r="K7" s="57"/>
      <c r="L7" s="57"/>
      <c r="M7" s="57">
        <f>D7</f>
        <v>506</v>
      </c>
      <c r="N7" s="57"/>
    </row>
    <row r="8" ht="21.0" customHeight="1">
      <c r="A8" s="55"/>
      <c r="B8" s="56"/>
      <c r="C8" s="57"/>
      <c r="D8" s="58">
        <v>1608.0</v>
      </c>
      <c r="E8" s="60" t="s">
        <v>82</v>
      </c>
      <c r="F8" s="57"/>
      <c r="G8" s="57"/>
      <c r="H8" s="57"/>
      <c r="I8" s="57"/>
      <c r="J8" s="57"/>
      <c r="K8" s="57"/>
      <c r="L8" s="57"/>
      <c r="M8" s="57">
        <v>1608.0</v>
      </c>
      <c r="N8" s="57"/>
    </row>
    <row r="9" ht="21.0" customHeight="1">
      <c r="A9" s="55"/>
      <c r="B9" s="56"/>
      <c r="C9" s="57"/>
      <c r="D9" s="57">
        <v>246.3</v>
      </c>
      <c r="E9" s="61" t="s">
        <v>83</v>
      </c>
      <c r="F9" s="57"/>
      <c r="G9" s="57"/>
      <c r="H9" s="57"/>
      <c r="I9" s="57"/>
      <c r="J9" s="57"/>
      <c r="K9" s="57"/>
      <c r="L9" s="57"/>
      <c r="M9" s="57">
        <f>D9</f>
        <v>246.3</v>
      </c>
      <c r="N9" s="57"/>
    </row>
    <row r="10" ht="21.0" customHeight="1">
      <c r="A10" s="55"/>
      <c r="B10" s="56"/>
      <c r="C10" s="57"/>
      <c r="D10" s="58">
        <v>592000.0</v>
      </c>
      <c r="E10" s="60" t="s">
        <v>84</v>
      </c>
      <c r="F10" s="57"/>
      <c r="G10" s="57"/>
      <c r="H10" s="57"/>
      <c r="I10" s="57"/>
      <c r="J10" s="57"/>
      <c r="K10" s="58">
        <f>D10</f>
        <v>592000</v>
      </c>
      <c r="L10" s="57"/>
      <c r="M10" s="57"/>
      <c r="N10" s="57"/>
    </row>
    <row r="11" ht="21.0" customHeight="1">
      <c r="A11" s="55"/>
      <c r="B11" s="56"/>
      <c r="C11" s="57"/>
      <c r="D11" s="58">
        <v>5020.25</v>
      </c>
      <c r="E11" s="24" t="s">
        <v>85</v>
      </c>
      <c r="F11" s="57"/>
      <c r="G11" s="57"/>
      <c r="H11" s="57"/>
      <c r="I11" s="57"/>
      <c r="J11" s="57"/>
      <c r="K11" s="57"/>
      <c r="L11" s="57"/>
      <c r="M11" s="58">
        <f t="shared" ref="M11:M15" si="1">D11</f>
        <v>5020.25</v>
      </c>
      <c r="N11" s="57"/>
    </row>
    <row r="12" ht="21.0" customHeight="1">
      <c r="A12" s="55"/>
      <c r="B12" s="56"/>
      <c r="C12" s="57"/>
      <c r="D12" s="58">
        <v>35756.0</v>
      </c>
      <c r="E12" s="24" t="s">
        <v>86</v>
      </c>
      <c r="F12" s="57"/>
      <c r="G12" s="57"/>
      <c r="H12" s="57"/>
      <c r="I12" s="57"/>
      <c r="J12" s="57"/>
      <c r="K12" s="57"/>
      <c r="L12" s="57"/>
      <c r="M12" s="58">
        <f t="shared" si="1"/>
        <v>35756</v>
      </c>
      <c r="N12" s="57"/>
    </row>
    <row r="13" ht="21.0" customHeight="1">
      <c r="A13" s="55"/>
      <c r="B13" s="56"/>
      <c r="C13" s="57"/>
      <c r="D13" s="58">
        <v>300.0</v>
      </c>
      <c r="E13" s="24" t="s">
        <v>87</v>
      </c>
      <c r="F13" s="57"/>
      <c r="G13" s="57"/>
      <c r="H13" s="57"/>
      <c r="I13" s="57"/>
      <c r="J13" s="57"/>
      <c r="K13" s="57"/>
      <c r="L13" s="57"/>
      <c r="M13" s="58">
        <f t="shared" si="1"/>
        <v>300</v>
      </c>
      <c r="N13" s="57"/>
    </row>
    <row r="14" ht="21.0" customHeight="1">
      <c r="A14" s="55"/>
      <c r="B14" s="56"/>
      <c r="C14" s="57"/>
      <c r="D14" s="58">
        <v>45.0</v>
      </c>
      <c r="E14" s="24" t="s">
        <v>88</v>
      </c>
      <c r="F14" s="57"/>
      <c r="G14" s="57"/>
      <c r="H14" s="57"/>
      <c r="I14" s="57"/>
      <c r="J14" s="57"/>
      <c r="K14" s="57"/>
      <c r="L14" s="57"/>
      <c r="M14" s="58">
        <f t="shared" si="1"/>
        <v>45</v>
      </c>
      <c r="N14" s="57"/>
    </row>
    <row r="15" ht="21.0" customHeight="1">
      <c r="A15" s="55"/>
      <c r="B15" s="56"/>
      <c r="C15" s="57"/>
      <c r="D15" s="58">
        <v>7042.0</v>
      </c>
      <c r="E15" s="24" t="s">
        <v>89</v>
      </c>
      <c r="F15" s="57"/>
      <c r="G15" s="57"/>
      <c r="H15" s="57"/>
      <c r="I15" s="57"/>
      <c r="J15" s="57"/>
      <c r="K15" s="57"/>
      <c r="L15" s="57"/>
      <c r="M15" s="58">
        <f t="shared" si="1"/>
        <v>7042</v>
      </c>
      <c r="N15" s="57"/>
    </row>
    <row r="16" ht="21.0" customHeight="1">
      <c r="A16" s="55"/>
      <c r="B16" s="56"/>
      <c r="C16" s="57"/>
      <c r="D16" s="58">
        <v>60000.0</v>
      </c>
      <c r="E16" s="24" t="s">
        <v>90</v>
      </c>
      <c r="F16" s="57"/>
      <c r="G16" s="57"/>
      <c r="H16" s="57"/>
      <c r="I16" s="57"/>
      <c r="J16" s="57"/>
      <c r="L16" s="58">
        <f>D16</f>
        <v>60000</v>
      </c>
      <c r="M16" s="57"/>
      <c r="N16" s="57"/>
    </row>
    <row r="17" ht="21.0" customHeight="1">
      <c r="A17" s="55"/>
      <c r="B17" s="56"/>
      <c r="C17" s="57"/>
      <c r="D17" s="58">
        <v>66000.0</v>
      </c>
      <c r="E17" s="24" t="s">
        <v>91</v>
      </c>
      <c r="F17" s="57"/>
      <c r="G17" s="57">
        <v>66000.0</v>
      </c>
      <c r="H17" s="57"/>
      <c r="I17" s="57"/>
      <c r="J17" s="57"/>
      <c r="K17" s="57"/>
      <c r="L17" s="57"/>
      <c r="M17" s="57"/>
      <c r="N17" s="57"/>
    </row>
    <row r="18" ht="21.0" customHeight="1">
      <c r="A18" s="55"/>
      <c r="B18" s="56"/>
      <c r="C18" s="57"/>
      <c r="D18" s="58">
        <v>20000.0</v>
      </c>
      <c r="E18" s="24" t="s">
        <v>92</v>
      </c>
      <c r="F18" s="57"/>
      <c r="G18" s="57"/>
      <c r="H18" s="57"/>
      <c r="I18" s="57"/>
      <c r="J18" s="57"/>
      <c r="K18" s="58">
        <f t="shared" ref="K18:K19" si="2">D18</f>
        <v>20000</v>
      </c>
      <c r="L18" s="57"/>
      <c r="M18" s="57"/>
      <c r="N18" s="57"/>
    </row>
    <row r="19" ht="21.0" customHeight="1">
      <c r="A19" s="55"/>
      <c r="B19" s="56"/>
      <c r="C19" s="57"/>
      <c r="D19" s="58">
        <v>20000.0</v>
      </c>
      <c r="E19" s="24" t="s">
        <v>93</v>
      </c>
      <c r="F19" s="57"/>
      <c r="G19" s="57"/>
      <c r="H19" s="57"/>
      <c r="I19" s="57"/>
      <c r="J19" s="57"/>
      <c r="K19" s="58">
        <f t="shared" si="2"/>
        <v>20000</v>
      </c>
      <c r="L19" s="57"/>
      <c r="M19" s="57"/>
      <c r="N19" s="57"/>
    </row>
    <row r="20" ht="21.0" customHeight="1">
      <c r="A20" s="55"/>
      <c r="B20" s="56"/>
      <c r="C20" s="57" t="s">
        <v>13</v>
      </c>
      <c r="D20" s="58">
        <v>1960.0</v>
      </c>
      <c r="E20" s="59" t="s">
        <v>79</v>
      </c>
      <c r="F20" s="57"/>
      <c r="G20" s="57"/>
      <c r="H20" s="57"/>
      <c r="I20" s="57"/>
      <c r="J20" s="57"/>
      <c r="K20" s="57"/>
      <c r="L20" s="57"/>
      <c r="M20" s="58">
        <f t="shared" ref="M20:M24" si="3">D20</f>
        <v>1960</v>
      </c>
      <c r="N20" s="57"/>
    </row>
    <row r="21" ht="21.0" customHeight="1">
      <c r="A21" s="55"/>
      <c r="B21" s="56"/>
      <c r="C21" s="57"/>
      <c r="D21" s="57">
        <v>399.0</v>
      </c>
      <c r="E21" s="60" t="s">
        <v>80</v>
      </c>
      <c r="F21" s="57"/>
      <c r="G21" s="57"/>
      <c r="H21" s="57"/>
      <c r="I21" s="57"/>
      <c r="J21" s="57"/>
      <c r="K21" s="57"/>
      <c r="L21" s="57"/>
      <c r="M21" s="57">
        <f t="shared" si="3"/>
        <v>399</v>
      </c>
      <c r="N21" s="57"/>
    </row>
    <row r="22" ht="21.0" customHeight="1">
      <c r="A22" s="55"/>
      <c r="B22" s="56"/>
      <c r="C22" s="57"/>
      <c r="D22" s="57">
        <v>356.0</v>
      </c>
      <c r="E22" s="61" t="s">
        <v>81</v>
      </c>
      <c r="F22" s="57"/>
      <c r="G22" s="57"/>
      <c r="H22" s="57"/>
      <c r="I22" s="57"/>
      <c r="J22" s="57"/>
      <c r="K22" s="57"/>
      <c r="L22" s="57"/>
      <c r="M22" s="57">
        <f t="shared" si="3"/>
        <v>356</v>
      </c>
      <c r="N22" s="57"/>
    </row>
    <row r="23" ht="21.0" customHeight="1">
      <c r="A23" s="55"/>
      <c r="B23" s="56"/>
      <c r="C23" s="57"/>
      <c r="D23" s="58">
        <v>1104.0</v>
      </c>
      <c r="E23" s="60" t="s">
        <v>82</v>
      </c>
      <c r="F23" s="57"/>
      <c r="G23" s="57"/>
      <c r="H23" s="57"/>
      <c r="I23" s="57"/>
      <c r="J23" s="57"/>
      <c r="K23" s="57"/>
      <c r="L23" s="57"/>
      <c r="M23" s="58">
        <f t="shared" si="3"/>
        <v>1104</v>
      </c>
      <c r="N23" s="57"/>
    </row>
    <row r="24" ht="21.0" customHeight="1">
      <c r="A24" s="55"/>
      <c r="B24" s="56"/>
      <c r="C24" s="57"/>
      <c r="D24" s="57">
        <v>188.1</v>
      </c>
      <c r="E24" s="61" t="s">
        <v>83</v>
      </c>
      <c r="F24" s="57"/>
      <c r="G24" s="57"/>
      <c r="H24" s="57"/>
      <c r="I24" s="57"/>
      <c r="J24" s="57"/>
      <c r="K24" s="57"/>
      <c r="L24" s="57"/>
      <c r="M24" s="57">
        <f t="shared" si="3"/>
        <v>188.1</v>
      </c>
      <c r="N24" s="57"/>
    </row>
    <row r="25" ht="21.0" customHeight="1">
      <c r="A25" s="55"/>
      <c r="B25" s="56"/>
      <c r="C25" s="57"/>
      <c r="D25" s="58">
        <v>380500.0</v>
      </c>
      <c r="E25" s="60" t="s">
        <v>84</v>
      </c>
      <c r="F25" s="57"/>
      <c r="G25" s="57"/>
      <c r="H25" s="57"/>
      <c r="I25" s="57"/>
      <c r="J25" s="57"/>
      <c r="K25" s="58">
        <f t="shared" ref="K25:K26" si="4">D25</f>
        <v>380500</v>
      </c>
      <c r="L25" s="57"/>
      <c r="M25" s="57"/>
      <c r="N25" s="57"/>
    </row>
    <row r="26" ht="21.0" customHeight="1">
      <c r="A26" s="55"/>
      <c r="B26" s="56"/>
      <c r="C26" s="57"/>
      <c r="D26" s="58">
        <v>14000.0</v>
      </c>
      <c r="E26" s="24" t="s">
        <v>94</v>
      </c>
      <c r="F26" s="57"/>
      <c r="G26" s="57"/>
      <c r="H26" s="57"/>
      <c r="I26" s="57"/>
      <c r="J26" s="57"/>
      <c r="K26" s="58">
        <f t="shared" si="4"/>
        <v>14000</v>
      </c>
      <c r="L26" s="57"/>
      <c r="M26" s="57"/>
      <c r="N26" s="57"/>
    </row>
    <row r="27" ht="21.0" customHeight="1">
      <c r="A27" s="55"/>
      <c r="B27" s="56"/>
      <c r="C27" s="57"/>
      <c r="D27" s="58">
        <v>5020.25</v>
      </c>
      <c r="E27" s="24" t="s">
        <v>85</v>
      </c>
      <c r="F27" s="57"/>
      <c r="G27" s="57"/>
      <c r="H27" s="57"/>
      <c r="I27" s="57"/>
      <c r="J27" s="57"/>
      <c r="K27" s="57"/>
      <c r="L27" s="57"/>
      <c r="M27" s="58">
        <f>D27</f>
        <v>5020.25</v>
      </c>
      <c r="N27" s="57"/>
    </row>
    <row r="28" ht="21.0" customHeight="1">
      <c r="A28" s="55"/>
      <c r="B28" s="56"/>
      <c r="C28" s="57"/>
      <c r="D28" s="58">
        <v>20000.0</v>
      </c>
      <c r="E28" s="24" t="s">
        <v>95</v>
      </c>
      <c r="F28" s="57"/>
      <c r="G28" s="57"/>
      <c r="H28" s="57"/>
      <c r="I28" s="57"/>
      <c r="J28" s="57"/>
      <c r="K28" s="58">
        <f>D28</f>
        <v>20000</v>
      </c>
      <c r="L28" s="57"/>
      <c r="M28" s="57"/>
      <c r="N28" s="57"/>
    </row>
    <row r="29" ht="21.0" customHeight="1">
      <c r="A29" s="55"/>
      <c r="B29" s="56"/>
      <c r="C29" s="57"/>
      <c r="D29" s="58">
        <v>15000.0</v>
      </c>
      <c r="E29" s="24" t="s">
        <v>86</v>
      </c>
      <c r="F29" s="57"/>
      <c r="G29" s="57"/>
      <c r="H29" s="57"/>
      <c r="I29" s="57"/>
      <c r="J29" s="57"/>
      <c r="K29" s="57"/>
      <c r="L29" s="57"/>
      <c r="M29" s="58">
        <f t="shared" ref="M29:M35" si="5">D29</f>
        <v>15000</v>
      </c>
      <c r="N29" s="57"/>
    </row>
    <row r="30" ht="21.0" customHeight="1">
      <c r="A30" s="55"/>
      <c r="B30" s="56"/>
      <c r="C30" s="57"/>
      <c r="D30" s="58">
        <v>150.0</v>
      </c>
      <c r="E30" s="24" t="s">
        <v>87</v>
      </c>
      <c r="F30" s="57"/>
      <c r="G30" s="57"/>
      <c r="H30" s="57"/>
      <c r="I30" s="57"/>
      <c r="J30" s="57"/>
      <c r="K30" s="57"/>
      <c r="L30" s="57"/>
      <c r="M30" s="58">
        <f t="shared" si="5"/>
        <v>150</v>
      </c>
      <c r="N30" s="57"/>
    </row>
    <row r="31" ht="21.0" customHeight="1">
      <c r="A31" s="55"/>
      <c r="B31" s="56"/>
      <c r="C31" s="57"/>
      <c r="D31" s="58">
        <v>22.5</v>
      </c>
      <c r="E31" s="24" t="s">
        <v>88</v>
      </c>
      <c r="F31" s="57"/>
      <c r="G31" s="57"/>
      <c r="H31" s="57"/>
      <c r="I31" s="57"/>
      <c r="J31" s="57"/>
      <c r="K31" s="57"/>
      <c r="L31" s="57"/>
      <c r="M31" s="58">
        <f t="shared" si="5"/>
        <v>22.5</v>
      </c>
      <c r="N31" s="57"/>
    </row>
    <row r="32" ht="21.0" customHeight="1">
      <c r="A32" s="55"/>
      <c r="B32" s="56"/>
      <c r="C32" s="57"/>
      <c r="D32" s="58">
        <v>2556.0</v>
      </c>
      <c r="E32" s="24" t="s">
        <v>89</v>
      </c>
      <c r="F32" s="57"/>
      <c r="G32" s="57"/>
      <c r="H32" s="57"/>
      <c r="I32" s="57"/>
      <c r="J32" s="57"/>
      <c r="K32" s="57"/>
      <c r="L32" s="57"/>
      <c r="M32" s="58">
        <f t="shared" si="5"/>
        <v>2556</v>
      </c>
      <c r="N32" s="57"/>
    </row>
    <row r="33" ht="21.0" customHeight="1">
      <c r="A33" s="55"/>
      <c r="B33" s="56"/>
      <c r="C33" s="57"/>
      <c r="D33" s="58">
        <v>150.0</v>
      </c>
      <c r="E33" s="24" t="s">
        <v>96</v>
      </c>
      <c r="F33" s="57"/>
      <c r="G33" s="57"/>
      <c r="H33" s="57"/>
      <c r="I33" s="57"/>
      <c r="J33" s="57"/>
      <c r="K33" s="57"/>
      <c r="L33" s="57"/>
      <c r="M33" s="58">
        <f t="shared" si="5"/>
        <v>150</v>
      </c>
      <c r="N33" s="57"/>
    </row>
    <row r="34" ht="21.0" customHeight="1">
      <c r="A34" s="55"/>
      <c r="B34" s="56"/>
      <c r="C34" s="57"/>
      <c r="D34" s="58">
        <v>20276.0</v>
      </c>
      <c r="E34" s="24" t="s">
        <v>97</v>
      </c>
      <c r="F34" s="57"/>
      <c r="G34" s="57"/>
      <c r="H34" s="57"/>
      <c r="I34" s="57"/>
      <c r="J34" s="57"/>
      <c r="K34" s="57"/>
      <c r="L34" s="57"/>
      <c r="M34" s="58">
        <f t="shared" si="5"/>
        <v>20276</v>
      </c>
      <c r="N34" s="57"/>
    </row>
    <row r="35" ht="21.0" customHeight="1">
      <c r="A35" s="55"/>
      <c r="B35" s="56"/>
      <c r="C35" s="57"/>
      <c r="D35" s="58">
        <v>1274.0</v>
      </c>
      <c r="E35" s="24" t="s">
        <v>98</v>
      </c>
      <c r="F35" s="57"/>
      <c r="G35" s="57"/>
      <c r="H35" s="57"/>
      <c r="I35" s="57"/>
      <c r="J35" s="57"/>
      <c r="K35" s="57"/>
      <c r="L35" s="57"/>
      <c r="M35" s="58">
        <f t="shared" si="5"/>
        <v>1274</v>
      </c>
      <c r="N35" s="57"/>
    </row>
    <row r="36" ht="21.0" customHeight="1">
      <c r="A36" s="55"/>
      <c r="B36" s="56"/>
      <c r="C36" s="57"/>
      <c r="D36" s="58">
        <v>5000.0</v>
      </c>
      <c r="E36" s="24" t="s">
        <v>99</v>
      </c>
      <c r="F36" s="57"/>
      <c r="G36" s="57"/>
      <c r="H36" s="57"/>
      <c r="I36" s="57"/>
      <c r="J36" s="57"/>
      <c r="K36" s="58">
        <f>D36</f>
        <v>5000</v>
      </c>
      <c r="L36" s="57"/>
      <c r="M36" s="57"/>
      <c r="N36" s="57"/>
    </row>
    <row r="37" ht="21.0" customHeight="1">
      <c r="A37" s="55"/>
      <c r="B37" s="56"/>
      <c r="C37" s="57"/>
      <c r="D37" s="58">
        <v>60000.0</v>
      </c>
      <c r="E37" s="24" t="s">
        <v>90</v>
      </c>
      <c r="F37" s="57"/>
      <c r="G37" s="57"/>
      <c r="H37" s="57"/>
      <c r="I37" s="57"/>
      <c r="J37" s="57"/>
      <c r="L37" s="58">
        <f>D37</f>
        <v>60000</v>
      </c>
      <c r="M37" s="57"/>
      <c r="N37" s="57"/>
    </row>
    <row r="38" ht="21.0" customHeight="1">
      <c r="A38" s="55"/>
      <c r="B38" s="56"/>
      <c r="C38" s="57" t="s">
        <v>14</v>
      </c>
      <c r="D38" s="62">
        <v>1855.0</v>
      </c>
      <c r="E38" s="59" t="s">
        <v>79</v>
      </c>
      <c r="F38" s="63"/>
      <c r="G38" s="63"/>
      <c r="H38" s="63"/>
      <c r="I38" s="63"/>
      <c r="J38" s="63"/>
      <c r="K38" s="57"/>
      <c r="L38" s="63"/>
      <c r="M38" s="58">
        <f t="shared" ref="M38:M42" si="6">D38</f>
        <v>1855</v>
      </c>
      <c r="N38" s="57"/>
    </row>
    <row r="39" ht="21.0" customHeight="1">
      <c r="A39" s="55"/>
      <c r="B39" s="56"/>
      <c r="C39" s="57"/>
      <c r="D39" s="63">
        <v>371.0</v>
      </c>
      <c r="E39" s="60" t="s">
        <v>80</v>
      </c>
      <c r="F39" s="63"/>
      <c r="G39" s="63"/>
      <c r="H39" s="63"/>
      <c r="I39" s="63"/>
      <c r="J39" s="63"/>
      <c r="K39" s="57"/>
      <c r="L39" s="63"/>
      <c r="M39" s="57">
        <f t="shared" si="6"/>
        <v>371</v>
      </c>
      <c r="N39" s="57"/>
    </row>
    <row r="40" ht="21.0" customHeight="1">
      <c r="A40" s="55"/>
      <c r="B40" s="56"/>
      <c r="C40" s="57"/>
      <c r="D40" s="63">
        <v>423.0</v>
      </c>
      <c r="E40" s="61" t="s">
        <v>81</v>
      </c>
      <c r="F40" s="63"/>
      <c r="G40" s="63"/>
      <c r="H40" s="63"/>
      <c r="I40" s="63"/>
      <c r="J40" s="63"/>
      <c r="K40" s="57"/>
      <c r="L40" s="63"/>
      <c r="M40" s="57">
        <f t="shared" si="6"/>
        <v>423</v>
      </c>
      <c r="N40" s="57"/>
    </row>
    <row r="41" ht="21.0" customHeight="1">
      <c r="A41" s="55"/>
      <c r="B41" s="56"/>
      <c r="C41" s="57"/>
      <c r="D41" s="62">
        <v>1332.0</v>
      </c>
      <c r="E41" s="60" t="s">
        <v>82</v>
      </c>
      <c r="F41" s="63"/>
      <c r="G41" s="63"/>
      <c r="H41" s="63"/>
      <c r="I41" s="63"/>
      <c r="J41" s="63"/>
      <c r="K41" s="57"/>
      <c r="L41" s="63"/>
      <c r="M41" s="58">
        <f t="shared" si="6"/>
        <v>1332</v>
      </c>
      <c r="N41" s="57"/>
    </row>
    <row r="42" ht="21.0" customHeight="1">
      <c r="A42" s="55"/>
      <c r="B42" s="56"/>
      <c r="C42" s="57"/>
      <c r="D42" s="63">
        <v>222.3</v>
      </c>
      <c r="E42" s="61" t="s">
        <v>83</v>
      </c>
      <c r="F42" s="63"/>
      <c r="G42" s="63"/>
      <c r="H42" s="63"/>
      <c r="I42" s="63"/>
      <c r="J42" s="63"/>
      <c r="K42" s="57"/>
      <c r="L42" s="63"/>
      <c r="M42" s="57">
        <f t="shared" si="6"/>
        <v>222.3</v>
      </c>
      <c r="N42" s="57"/>
    </row>
    <row r="43" ht="21.0" customHeight="1">
      <c r="A43" s="55"/>
      <c r="B43" s="56"/>
      <c r="C43" s="57"/>
      <c r="D43" s="62">
        <v>767000.0</v>
      </c>
      <c r="E43" s="60" t="s">
        <v>84</v>
      </c>
      <c r="F43" s="63"/>
      <c r="G43" s="63"/>
      <c r="H43" s="63"/>
      <c r="I43" s="63"/>
      <c r="J43" s="63"/>
      <c r="K43" s="58">
        <f>D43</f>
        <v>767000</v>
      </c>
      <c r="L43" s="63"/>
      <c r="M43" s="57"/>
      <c r="N43" s="57"/>
    </row>
    <row r="44" ht="21.0" customHeight="1">
      <c r="A44" s="55"/>
      <c r="B44" s="56"/>
      <c r="C44" s="57"/>
      <c r="D44" s="62">
        <v>2480.0</v>
      </c>
      <c r="E44" s="63" t="s">
        <v>100</v>
      </c>
      <c r="F44" s="63"/>
      <c r="G44" s="63"/>
      <c r="H44" s="63"/>
      <c r="I44" s="63"/>
      <c r="J44" s="63"/>
      <c r="K44" s="57"/>
      <c r="L44" s="63"/>
      <c r="M44" s="58">
        <f t="shared" ref="M44:M46" si="7">D44</f>
        <v>2480</v>
      </c>
      <c r="N44" s="57"/>
    </row>
    <row r="45" ht="21.0" customHeight="1">
      <c r="A45" s="55"/>
      <c r="B45" s="56"/>
      <c r="C45" s="57"/>
      <c r="D45" s="59">
        <v>5020.25</v>
      </c>
      <c r="E45" s="61" t="s">
        <v>85</v>
      </c>
      <c r="F45" s="63"/>
      <c r="G45" s="63"/>
      <c r="H45" s="63"/>
      <c r="I45" s="63"/>
      <c r="J45" s="63"/>
      <c r="K45" s="57"/>
      <c r="L45" s="63"/>
      <c r="M45" s="58">
        <f t="shared" si="7"/>
        <v>5020.25</v>
      </c>
      <c r="N45" s="57"/>
    </row>
    <row r="46" ht="21.0" customHeight="1">
      <c r="A46" s="55"/>
      <c r="B46" s="56"/>
      <c r="C46" s="57"/>
      <c r="D46" s="24">
        <v>7223.0</v>
      </c>
      <c r="E46" s="64" t="s">
        <v>98</v>
      </c>
      <c r="F46" s="63"/>
      <c r="G46" s="63"/>
      <c r="H46" s="63"/>
      <c r="I46" s="63"/>
      <c r="J46" s="63"/>
      <c r="K46" s="57"/>
      <c r="L46" s="63"/>
      <c r="M46" s="58">
        <f t="shared" si="7"/>
        <v>7223</v>
      </c>
      <c r="N46" s="57"/>
    </row>
    <row r="47" ht="21.0" customHeight="1">
      <c r="A47" s="55"/>
      <c r="B47" s="56"/>
      <c r="C47" s="57"/>
      <c r="D47" s="24">
        <v>10000.0</v>
      </c>
      <c r="E47" s="64" t="s">
        <v>92</v>
      </c>
      <c r="F47" s="63"/>
      <c r="G47" s="63"/>
      <c r="H47" s="63"/>
      <c r="I47" s="63"/>
      <c r="J47" s="63"/>
      <c r="K47" s="58">
        <f t="shared" ref="K47:K48" si="8">D47</f>
        <v>10000</v>
      </c>
      <c r="L47" s="63"/>
      <c r="M47" s="57"/>
      <c r="N47" s="57"/>
    </row>
    <row r="48" ht="21.0" customHeight="1">
      <c r="A48" s="55"/>
      <c r="B48" s="56"/>
      <c r="C48" s="57"/>
      <c r="D48" s="24">
        <v>10000.0</v>
      </c>
      <c r="E48" s="64" t="s">
        <v>101</v>
      </c>
      <c r="F48" s="63"/>
      <c r="G48" s="63"/>
      <c r="H48" s="63"/>
      <c r="I48" s="63"/>
      <c r="J48" s="63"/>
      <c r="K48" s="58">
        <f t="shared" si="8"/>
        <v>10000</v>
      </c>
      <c r="L48" s="63"/>
      <c r="M48" s="57"/>
      <c r="N48" s="57"/>
    </row>
    <row r="49" ht="21.0" customHeight="1">
      <c r="A49" s="55"/>
      <c r="B49" s="56"/>
      <c r="C49" s="57"/>
      <c r="D49" s="24">
        <v>15000.0</v>
      </c>
      <c r="E49" s="60" t="s">
        <v>86</v>
      </c>
      <c r="F49" s="63"/>
      <c r="G49" s="63"/>
      <c r="H49" s="63"/>
      <c r="I49" s="63"/>
      <c r="J49" s="63"/>
      <c r="K49" s="57"/>
      <c r="L49" s="63"/>
      <c r="M49" s="58">
        <f t="shared" ref="M49:M51" si="9">D49</f>
        <v>15000</v>
      </c>
      <c r="N49" s="57"/>
    </row>
    <row r="50" ht="21.0" customHeight="1">
      <c r="A50" s="55"/>
      <c r="B50" s="56"/>
      <c r="C50" s="57"/>
      <c r="D50" s="24">
        <v>150.0</v>
      </c>
      <c r="E50" s="61" t="s">
        <v>87</v>
      </c>
      <c r="F50" s="63"/>
      <c r="G50" s="63"/>
      <c r="H50" s="63"/>
      <c r="I50" s="63"/>
      <c r="J50" s="63"/>
      <c r="K50" s="57"/>
      <c r="L50" s="63"/>
      <c r="M50" s="58">
        <f t="shared" si="9"/>
        <v>150</v>
      </c>
      <c r="N50" s="57"/>
    </row>
    <row r="51" ht="21.0" customHeight="1">
      <c r="A51" s="55"/>
      <c r="B51" s="56"/>
      <c r="C51" s="57"/>
      <c r="D51" s="24">
        <v>22.5</v>
      </c>
      <c r="E51" s="60" t="s">
        <v>88</v>
      </c>
      <c r="F51" s="63"/>
      <c r="G51" s="63"/>
      <c r="H51" s="63"/>
      <c r="I51" s="63"/>
      <c r="J51" s="63"/>
      <c r="K51" s="57"/>
      <c r="L51" s="63"/>
      <c r="M51" s="58">
        <f t="shared" si="9"/>
        <v>22.5</v>
      </c>
      <c r="N51" s="57"/>
    </row>
    <row r="52" ht="21.0" customHeight="1">
      <c r="A52" s="55"/>
      <c r="B52" s="56"/>
      <c r="C52" s="57"/>
      <c r="D52" s="24">
        <v>66000.0</v>
      </c>
      <c r="E52" s="65" t="s">
        <v>91</v>
      </c>
      <c r="F52" s="63"/>
      <c r="G52" s="58">
        <f>D52</f>
        <v>66000</v>
      </c>
      <c r="H52" s="63"/>
      <c r="I52" s="63"/>
      <c r="J52" s="63"/>
      <c r="L52" s="63"/>
      <c r="M52" s="57"/>
      <c r="N52" s="57"/>
    </row>
    <row r="53" ht="21.0" customHeight="1">
      <c r="A53" s="55"/>
      <c r="B53" s="56"/>
      <c r="C53" s="57"/>
      <c r="D53" s="24">
        <v>300.0</v>
      </c>
      <c r="E53" s="65" t="s">
        <v>102</v>
      </c>
      <c r="F53" s="63"/>
      <c r="G53" s="63"/>
      <c r="H53" s="63"/>
      <c r="I53" s="63"/>
      <c r="J53" s="63"/>
      <c r="K53" s="57"/>
      <c r="L53" s="63"/>
      <c r="M53" s="58">
        <f t="shared" ref="M53:M59" si="10">D53</f>
        <v>300</v>
      </c>
      <c r="N53" s="57"/>
    </row>
    <row r="54" ht="21.0" customHeight="1">
      <c r="A54" s="55"/>
      <c r="B54" s="56"/>
      <c r="C54" s="57"/>
      <c r="D54" s="24">
        <v>12697.0</v>
      </c>
      <c r="E54" s="65" t="s">
        <v>103</v>
      </c>
      <c r="F54" s="63"/>
      <c r="G54" s="63"/>
      <c r="H54" s="63"/>
      <c r="I54" s="63"/>
      <c r="J54" s="63"/>
      <c r="K54" s="57"/>
      <c r="L54" s="63"/>
      <c r="M54" s="58">
        <f t="shared" si="10"/>
        <v>12697</v>
      </c>
      <c r="N54" s="57"/>
    </row>
    <row r="55" ht="21.0" customHeight="1">
      <c r="A55" s="55"/>
      <c r="B55" s="56"/>
      <c r="C55" s="57" t="s">
        <v>15</v>
      </c>
      <c r="D55" s="24">
        <v>2345.0</v>
      </c>
      <c r="E55" s="59" t="s">
        <v>79</v>
      </c>
      <c r="F55" s="58"/>
      <c r="G55" s="57"/>
      <c r="H55" s="57"/>
      <c r="I55" s="57"/>
      <c r="J55" s="57"/>
      <c r="K55" s="57"/>
      <c r="L55" s="57"/>
      <c r="M55" s="58">
        <f t="shared" si="10"/>
        <v>2345</v>
      </c>
      <c r="N55" s="57"/>
    </row>
    <row r="56" ht="21.0" customHeight="1">
      <c r="A56" s="55"/>
      <c r="B56" s="56"/>
      <c r="C56" s="57"/>
      <c r="D56" s="24">
        <v>462.0</v>
      </c>
      <c r="E56" s="60" t="s">
        <v>80</v>
      </c>
      <c r="F56" s="57"/>
      <c r="G56" s="57"/>
      <c r="H56" s="57"/>
      <c r="I56" s="57"/>
      <c r="J56" s="57"/>
      <c r="K56" s="57"/>
      <c r="L56" s="57"/>
      <c r="M56" s="58">
        <f t="shared" si="10"/>
        <v>462</v>
      </c>
      <c r="N56" s="57"/>
    </row>
    <row r="57" ht="21.0" customHeight="1">
      <c r="A57" s="55"/>
      <c r="B57" s="56"/>
      <c r="C57" s="57"/>
      <c r="D57" s="24">
        <v>502.0</v>
      </c>
      <c r="E57" s="61" t="s">
        <v>81</v>
      </c>
      <c r="F57" s="57"/>
      <c r="G57" s="57"/>
      <c r="H57" s="57"/>
      <c r="I57" s="57"/>
      <c r="J57" s="57"/>
      <c r="K57" s="57"/>
      <c r="L57" s="57"/>
      <c r="M57" s="58">
        <f t="shared" si="10"/>
        <v>502</v>
      </c>
      <c r="N57" s="57"/>
    </row>
    <row r="58" ht="21.0" customHeight="1">
      <c r="A58" s="55"/>
      <c r="B58" s="56"/>
      <c r="C58" s="57"/>
      <c r="D58" s="24">
        <v>1558.0</v>
      </c>
      <c r="E58" s="60" t="s">
        <v>82</v>
      </c>
      <c r="F58" s="57"/>
      <c r="G58" s="57"/>
      <c r="H58" s="57"/>
      <c r="I58" s="57"/>
      <c r="J58" s="57"/>
      <c r="K58" s="57"/>
      <c r="L58" s="57"/>
      <c r="M58" s="58">
        <f t="shared" si="10"/>
        <v>1558</v>
      </c>
      <c r="N58" s="57"/>
    </row>
    <row r="59" ht="21.0" customHeight="1">
      <c r="A59" s="55"/>
      <c r="B59" s="56"/>
      <c r="C59" s="57"/>
      <c r="D59" s="24">
        <v>324.0</v>
      </c>
      <c r="E59" s="61" t="s">
        <v>83</v>
      </c>
      <c r="F59" s="57"/>
      <c r="G59" s="57"/>
      <c r="H59" s="57"/>
      <c r="I59" s="57"/>
      <c r="J59" s="57"/>
      <c r="K59" s="57"/>
      <c r="L59" s="57"/>
      <c r="M59" s="58">
        <f t="shared" si="10"/>
        <v>324</v>
      </c>
      <c r="N59" s="57"/>
    </row>
    <row r="60" ht="19.5" customHeight="1">
      <c r="A60" s="55"/>
      <c r="B60" s="56"/>
      <c r="C60" s="57"/>
      <c r="D60" s="24">
        <v>560000.0</v>
      </c>
      <c r="E60" s="60" t="s">
        <v>84</v>
      </c>
      <c r="F60" s="57"/>
      <c r="G60" s="57"/>
      <c r="H60" s="57"/>
      <c r="I60" s="57"/>
      <c r="J60" s="57"/>
      <c r="K60" s="58">
        <f>D60</f>
        <v>560000</v>
      </c>
      <c r="L60" s="57"/>
      <c r="M60" s="57"/>
      <c r="N60" s="57"/>
    </row>
    <row r="61" ht="19.5" customHeight="1">
      <c r="A61" s="55"/>
      <c r="B61" s="56"/>
      <c r="C61" s="57"/>
      <c r="D61" s="59">
        <v>5371.0</v>
      </c>
      <c r="E61" s="61" t="s">
        <v>104</v>
      </c>
      <c r="F61" s="57"/>
      <c r="G61" s="57"/>
      <c r="H61" s="57"/>
      <c r="I61" s="57"/>
      <c r="J61" s="57"/>
      <c r="K61" s="57"/>
      <c r="L61" s="57"/>
      <c r="M61" s="58">
        <f>D61</f>
        <v>5371</v>
      </c>
      <c r="N61" s="57"/>
    </row>
    <row r="62" ht="19.5" customHeight="1">
      <c r="A62" s="55"/>
      <c r="B62" s="56"/>
      <c r="C62" s="57"/>
      <c r="D62" s="59">
        <v>20000.0</v>
      </c>
      <c r="E62" s="60" t="s">
        <v>99</v>
      </c>
      <c r="F62" s="57"/>
      <c r="G62" s="57"/>
      <c r="H62" s="57"/>
      <c r="I62" s="57"/>
      <c r="J62" s="57"/>
      <c r="K62" s="58">
        <f>D62</f>
        <v>20000</v>
      </c>
      <c r="L62" s="57"/>
      <c r="M62" s="57"/>
      <c r="N62" s="57"/>
    </row>
    <row r="63" ht="19.5" customHeight="1">
      <c r="A63" s="55"/>
      <c r="B63" s="56"/>
      <c r="C63" s="57"/>
      <c r="D63" s="59">
        <v>5020.25</v>
      </c>
      <c r="E63" s="61" t="s">
        <v>85</v>
      </c>
      <c r="F63" s="57"/>
      <c r="G63" s="57"/>
      <c r="H63" s="57"/>
      <c r="I63" s="57"/>
      <c r="J63" s="57"/>
      <c r="K63" s="57"/>
      <c r="L63" s="57"/>
      <c r="M63" s="58">
        <f t="shared" ref="M63:M66" si="11">D63</f>
        <v>5020.25</v>
      </c>
      <c r="N63" s="57"/>
    </row>
    <row r="64" ht="19.5" customHeight="1">
      <c r="A64" s="55"/>
      <c r="B64" s="66"/>
      <c r="C64" s="57"/>
      <c r="D64" s="59">
        <v>35276.0</v>
      </c>
      <c r="E64" s="60" t="s">
        <v>86</v>
      </c>
      <c r="F64" s="57"/>
      <c r="G64" s="57"/>
      <c r="H64" s="57"/>
      <c r="I64" s="57"/>
      <c r="J64" s="57"/>
      <c r="K64" s="57"/>
      <c r="L64" s="57"/>
      <c r="M64" s="58">
        <f t="shared" si="11"/>
        <v>35276</v>
      </c>
      <c r="N64" s="57"/>
    </row>
    <row r="65" ht="19.5" customHeight="1">
      <c r="A65" s="55"/>
      <c r="B65" s="56"/>
      <c r="C65" s="57"/>
      <c r="D65" s="59">
        <v>300.0</v>
      </c>
      <c r="E65" s="61" t="s">
        <v>87</v>
      </c>
      <c r="F65" s="57"/>
      <c r="G65" s="57"/>
      <c r="H65" s="57"/>
      <c r="I65" s="57"/>
      <c r="J65" s="57"/>
      <c r="K65" s="57"/>
      <c r="L65" s="57"/>
      <c r="M65" s="58">
        <f t="shared" si="11"/>
        <v>300</v>
      </c>
      <c r="N65" s="57"/>
    </row>
    <row r="66" ht="19.5" customHeight="1">
      <c r="A66" s="55"/>
      <c r="B66" s="56"/>
      <c r="C66" s="57"/>
      <c r="D66" s="59">
        <v>45.5</v>
      </c>
      <c r="E66" s="60" t="s">
        <v>88</v>
      </c>
      <c r="F66" s="57"/>
      <c r="G66" s="57"/>
      <c r="H66" s="57"/>
      <c r="I66" s="57"/>
      <c r="J66" s="57"/>
      <c r="K66" s="57"/>
      <c r="L66" s="57"/>
      <c r="M66" s="58">
        <f t="shared" si="11"/>
        <v>45.5</v>
      </c>
      <c r="N66" s="57"/>
    </row>
    <row r="67" ht="19.5" customHeight="1">
      <c r="A67" s="8"/>
      <c r="B67" s="67"/>
      <c r="C67" s="68"/>
      <c r="D67" s="59">
        <v>60000.0</v>
      </c>
      <c r="E67" s="61" t="s">
        <v>90</v>
      </c>
      <c r="F67" s="69"/>
      <c r="G67" s="69"/>
      <c r="H67" s="69"/>
      <c r="I67" s="69"/>
      <c r="J67" s="69"/>
      <c r="K67" s="57"/>
      <c r="L67" s="58">
        <f>D67</f>
        <v>60000</v>
      </c>
      <c r="N67" s="57"/>
    </row>
    <row r="68" ht="19.5" customHeight="1">
      <c r="A68" s="8"/>
      <c r="B68" s="70"/>
      <c r="C68" s="71"/>
      <c r="D68" s="59">
        <v>60000.0</v>
      </c>
      <c r="E68" s="60" t="s">
        <v>105</v>
      </c>
      <c r="F68" s="72"/>
      <c r="G68" s="58">
        <f>D68</f>
        <v>60000</v>
      </c>
      <c r="H68" s="72"/>
      <c r="I68" s="72"/>
      <c r="J68" s="72"/>
      <c r="M68" s="57"/>
      <c r="N68" s="57"/>
    </row>
    <row r="69" ht="19.5" customHeight="1">
      <c r="A69" s="8"/>
      <c r="B69" s="73"/>
      <c r="C69" s="69"/>
      <c r="D69" s="59">
        <v>35000.0</v>
      </c>
      <c r="E69" s="61" t="s">
        <v>95</v>
      </c>
      <c r="F69" s="69"/>
      <c r="G69" s="69"/>
      <c r="H69" s="69"/>
      <c r="I69" s="69"/>
      <c r="J69" s="69"/>
      <c r="K69" s="58">
        <f>D69</f>
        <v>35000</v>
      </c>
      <c r="L69" s="69"/>
      <c r="M69" s="57"/>
      <c r="N69" s="57"/>
    </row>
    <row r="70" ht="19.5" customHeight="1">
      <c r="A70" s="8"/>
      <c r="B70" s="74"/>
      <c r="C70" s="75"/>
      <c r="D70" s="59">
        <v>2000.0</v>
      </c>
      <c r="E70" s="60" t="s">
        <v>106</v>
      </c>
      <c r="F70" s="72"/>
      <c r="G70" s="72"/>
      <c r="H70" s="72"/>
      <c r="I70" s="72"/>
      <c r="J70" s="72"/>
      <c r="K70" s="57"/>
      <c r="L70" s="72"/>
      <c r="M70" s="58">
        <f t="shared" ref="M70:M75" si="12">D70</f>
        <v>2000</v>
      </c>
      <c r="N70" s="57"/>
    </row>
    <row r="71" ht="19.5" customHeight="1">
      <c r="A71" s="8"/>
      <c r="B71" s="73"/>
      <c r="C71" s="69" t="s">
        <v>16</v>
      </c>
      <c r="D71" s="76">
        <v>1890.0</v>
      </c>
      <c r="E71" s="59" t="s">
        <v>79</v>
      </c>
      <c r="F71" s="69"/>
      <c r="G71" s="69"/>
      <c r="H71" s="69"/>
      <c r="I71" s="69"/>
      <c r="J71" s="69"/>
      <c r="K71" s="57"/>
      <c r="L71" s="69"/>
      <c r="M71" s="58">
        <f t="shared" si="12"/>
        <v>1890</v>
      </c>
      <c r="N71" s="57"/>
    </row>
    <row r="72" ht="19.5" customHeight="1">
      <c r="A72" s="8"/>
      <c r="B72" s="73"/>
      <c r="C72" s="69"/>
      <c r="D72" s="69">
        <v>378.0</v>
      </c>
      <c r="E72" s="60" t="s">
        <v>80</v>
      </c>
      <c r="F72" s="69"/>
      <c r="G72" s="69"/>
      <c r="H72" s="69"/>
      <c r="I72" s="69"/>
      <c r="J72" s="69"/>
      <c r="K72" s="57"/>
      <c r="L72" s="69"/>
      <c r="M72" s="57">
        <f t="shared" si="12"/>
        <v>378</v>
      </c>
      <c r="N72" s="57"/>
    </row>
    <row r="73" ht="19.5" customHeight="1">
      <c r="A73" s="8"/>
      <c r="B73" s="73"/>
      <c r="C73" s="69"/>
      <c r="D73" s="69">
        <v>461.0</v>
      </c>
      <c r="E73" s="61" t="s">
        <v>81</v>
      </c>
      <c r="F73" s="69"/>
      <c r="G73" s="69"/>
      <c r="H73" s="69"/>
      <c r="I73" s="69"/>
      <c r="J73" s="69"/>
      <c r="K73" s="57"/>
      <c r="L73" s="69"/>
      <c r="M73" s="57">
        <f t="shared" si="12"/>
        <v>461</v>
      </c>
      <c r="N73" s="57"/>
    </row>
    <row r="74" ht="19.5" customHeight="1">
      <c r="A74" s="8"/>
      <c r="B74" s="73"/>
      <c r="C74" s="69"/>
      <c r="D74" s="76">
        <v>1494.0</v>
      </c>
      <c r="E74" s="60" t="s">
        <v>82</v>
      </c>
      <c r="F74" s="69"/>
      <c r="G74" s="69"/>
      <c r="H74" s="69"/>
      <c r="I74" s="69"/>
      <c r="J74" s="69"/>
      <c r="K74" s="57"/>
      <c r="L74" s="69"/>
      <c r="M74" s="58">
        <f t="shared" si="12"/>
        <v>1494</v>
      </c>
      <c r="N74" s="57"/>
    </row>
    <row r="75" ht="19.5" customHeight="1">
      <c r="A75" s="8"/>
      <c r="B75" s="73"/>
      <c r="C75" s="69"/>
      <c r="D75" s="69">
        <v>291.4</v>
      </c>
      <c r="E75" s="61" t="s">
        <v>83</v>
      </c>
      <c r="F75" s="69"/>
      <c r="G75" s="69"/>
      <c r="H75" s="69"/>
      <c r="I75" s="69"/>
      <c r="J75" s="69"/>
      <c r="K75" s="57"/>
      <c r="L75" s="69"/>
      <c r="M75" s="57">
        <f t="shared" si="12"/>
        <v>291.4</v>
      </c>
      <c r="N75" s="57"/>
    </row>
    <row r="76" ht="19.5" customHeight="1">
      <c r="A76" s="8"/>
      <c r="B76" s="73"/>
      <c r="C76" s="69"/>
      <c r="D76" s="76">
        <v>582000.0</v>
      </c>
      <c r="E76" s="60" t="s">
        <v>84</v>
      </c>
      <c r="F76" s="69"/>
      <c r="G76" s="69"/>
      <c r="H76" s="69"/>
      <c r="I76" s="69"/>
      <c r="J76" s="69"/>
      <c r="K76" s="58">
        <f t="shared" ref="K76:K77" si="13">D76</f>
        <v>582000</v>
      </c>
      <c r="L76" s="69"/>
      <c r="M76" s="57"/>
      <c r="N76" s="57"/>
    </row>
    <row r="77" ht="19.5" customHeight="1">
      <c r="A77" s="8"/>
      <c r="B77" s="73"/>
      <c r="C77" s="69"/>
      <c r="D77" s="76">
        <v>10000.0</v>
      </c>
      <c r="E77" s="69" t="s">
        <v>92</v>
      </c>
      <c r="F77" s="69"/>
      <c r="G77" s="69"/>
      <c r="H77" s="69"/>
      <c r="I77" s="69"/>
      <c r="J77" s="69"/>
      <c r="K77" s="58">
        <f t="shared" si="13"/>
        <v>10000</v>
      </c>
      <c r="L77" s="69"/>
      <c r="M77" s="57"/>
      <c r="N77" s="57"/>
    </row>
    <row r="78" ht="19.5" customHeight="1">
      <c r="A78" s="8"/>
      <c r="B78" s="73"/>
      <c r="C78" s="69"/>
      <c r="D78" s="76">
        <v>5020.25</v>
      </c>
      <c r="E78" s="69" t="s">
        <v>85</v>
      </c>
      <c r="F78" s="69"/>
      <c r="G78" s="69"/>
      <c r="H78" s="69"/>
      <c r="I78" s="69"/>
      <c r="J78" s="69"/>
      <c r="K78" s="57"/>
      <c r="L78" s="69"/>
      <c r="M78" s="58">
        <f t="shared" ref="M78:M82" si="14">D78</f>
        <v>5020.25</v>
      </c>
      <c r="N78" s="57"/>
    </row>
    <row r="79" ht="19.5" customHeight="1">
      <c r="A79" s="8"/>
      <c r="B79" s="73"/>
      <c r="C79" s="69"/>
      <c r="D79" s="76">
        <v>15000.0</v>
      </c>
      <c r="E79" s="61" t="s">
        <v>86</v>
      </c>
      <c r="F79" s="69"/>
      <c r="G79" s="69"/>
      <c r="H79" s="69"/>
      <c r="I79" s="69"/>
      <c r="J79" s="69"/>
      <c r="K79" s="57"/>
      <c r="L79" s="69"/>
      <c r="M79" s="58">
        <f t="shared" si="14"/>
        <v>15000</v>
      </c>
      <c r="N79" s="57"/>
    </row>
    <row r="80" ht="19.5" customHeight="1">
      <c r="A80" s="8"/>
      <c r="B80" s="73"/>
      <c r="C80" s="69"/>
      <c r="D80" s="76">
        <v>150.0</v>
      </c>
      <c r="E80" s="60" t="s">
        <v>87</v>
      </c>
      <c r="F80" s="69"/>
      <c r="G80" s="69"/>
      <c r="H80" s="69"/>
      <c r="I80" s="69"/>
      <c r="J80" s="69"/>
      <c r="K80" s="57"/>
      <c r="L80" s="69"/>
      <c r="M80" s="58">
        <f t="shared" si="14"/>
        <v>150</v>
      </c>
      <c r="N80" s="57"/>
    </row>
    <row r="81" ht="19.5" customHeight="1">
      <c r="A81" s="8"/>
      <c r="B81" s="73"/>
      <c r="C81" s="69"/>
      <c r="D81" s="76">
        <v>22.5</v>
      </c>
      <c r="E81" s="61" t="s">
        <v>88</v>
      </c>
      <c r="F81" s="69"/>
      <c r="G81" s="69"/>
      <c r="H81" s="69"/>
      <c r="I81" s="69"/>
      <c r="J81" s="69"/>
      <c r="K81" s="57"/>
      <c r="L81" s="69"/>
      <c r="M81" s="58">
        <f t="shared" si="14"/>
        <v>22.5</v>
      </c>
      <c r="N81" s="57"/>
    </row>
    <row r="82" ht="19.5" customHeight="1">
      <c r="A82" s="8"/>
      <c r="B82" s="73"/>
      <c r="C82" s="69"/>
      <c r="D82" s="76">
        <v>20000.0</v>
      </c>
      <c r="E82" s="64" t="s">
        <v>107</v>
      </c>
      <c r="F82" s="69"/>
      <c r="G82" s="69"/>
      <c r="H82" s="69"/>
      <c r="I82" s="69"/>
      <c r="J82" s="69"/>
      <c r="K82" s="58">
        <f>D82</f>
        <v>20000</v>
      </c>
      <c r="L82" s="69"/>
      <c r="M82" s="58">
        <f t="shared" si="14"/>
        <v>20000</v>
      </c>
      <c r="N82" s="57"/>
    </row>
    <row r="83" ht="19.5" customHeight="1">
      <c r="A83" s="8"/>
      <c r="B83" s="73"/>
      <c r="C83" s="69"/>
      <c r="D83" s="76">
        <v>200000.0</v>
      </c>
      <c r="E83" s="64" t="s">
        <v>90</v>
      </c>
      <c r="F83" s="69"/>
      <c r="G83" s="69"/>
      <c r="H83" s="69"/>
      <c r="I83" s="69"/>
      <c r="J83" s="69"/>
      <c r="K83" s="57"/>
      <c r="L83" s="58">
        <f>D83</f>
        <v>200000</v>
      </c>
      <c r="M83" s="57"/>
      <c r="N83" s="57"/>
    </row>
    <row r="84" ht="19.5" customHeight="1">
      <c r="A84" s="8"/>
      <c r="B84" s="73"/>
      <c r="C84" s="69"/>
      <c r="D84" s="76">
        <v>300.0</v>
      </c>
      <c r="E84" s="64" t="s">
        <v>102</v>
      </c>
      <c r="F84" s="69"/>
      <c r="G84" s="69"/>
      <c r="H84" s="69"/>
      <c r="I84" s="69"/>
      <c r="J84" s="69"/>
      <c r="K84" s="57"/>
      <c r="L84" s="69"/>
      <c r="M84" s="58">
        <f t="shared" ref="M84:M90" si="15">D84</f>
        <v>300</v>
      </c>
      <c r="N84" s="57"/>
    </row>
    <row r="85" ht="19.5" customHeight="1">
      <c r="A85" s="8"/>
      <c r="B85" s="73"/>
      <c r="C85" s="69"/>
      <c r="D85" s="76">
        <v>150.0</v>
      </c>
      <c r="E85" s="64" t="s">
        <v>96</v>
      </c>
      <c r="F85" s="69"/>
      <c r="G85" s="69"/>
      <c r="H85" s="69"/>
      <c r="I85" s="69"/>
      <c r="J85" s="69"/>
      <c r="K85" s="57"/>
      <c r="L85" s="69"/>
      <c r="M85" s="58">
        <f t="shared" si="15"/>
        <v>150</v>
      </c>
      <c r="N85" s="57"/>
    </row>
    <row r="86" ht="19.5" customHeight="1">
      <c r="A86" s="8"/>
      <c r="B86" s="73"/>
      <c r="C86" s="69"/>
      <c r="D86" s="76">
        <v>66000.0</v>
      </c>
      <c r="E86" s="64" t="s">
        <v>91</v>
      </c>
      <c r="F86" s="69"/>
      <c r="G86" s="58">
        <f>D86</f>
        <v>66000</v>
      </c>
      <c r="H86" s="69"/>
      <c r="I86" s="69"/>
      <c r="J86" s="69"/>
      <c r="L86" s="69"/>
      <c r="M86" s="58">
        <f t="shared" si="15"/>
        <v>66000</v>
      </c>
      <c r="N86" s="57"/>
    </row>
    <row r="87" ht="19.5" customHeight="1">
      <c r="A87" s="8"/>
      <c r="B87" s="73"/>
      <c r="C87" s="69"/>
      <c r="D87" s="76">
        <v>150.0</v>
      </c>
      <c r="E87" s="64" t="s">
        <v>108</v>
      </c>
      <c r="F87" s="69"/>
      <c r="G87" s="69"/>
      <c r="H87" s="69"/>
      <c r="I87" s="69"/>
      <c r="J87" s="69"/>
      <c r="K87" s="57"/>
      <c r="L87" s="69"/>
      <c r="M87" s="58">
        <f t="shared" si="15"/>
        <v>150</v>
      </c>
      <c r="N87" s="57"/>
    </row>
    <row r="88" ht="19.5" customHeight="1">
      <c r="A88" s="8"/>
      <c r="B88" s="73"/>
      <c r="C88" s="69"/>
      <c r="D88" s="76">
        <v>26.0</v>
      </c>
      <c r="E88" s="64" t="s">
        <v>109</v>
      </c>
      <c r="F88" s="69"/>
      <c r="G88" s="69"/>
      <c r="H88" s="69"/>
      <c r="I88" s="69"/>
      <c r="J88" s="69"/>
      <c r="K88" s="57"/>
      <c r="L88" s="69"/>
      <c r="M88" s="58">
        <f t="shared" si="15"/>
        <v>26</v>
      </c>
      <c r="N88" s="57"/>
    </row>
    <row r="89" ht="19.5" customHeight="1">
      <c r="A89" s="8"/>
      <c r="B89" s="73"/>
      <c r="C89" s="69"/>
      <c r="D89" s="76">
        <v>300.0</v>
      </c>
      <c r="E89" s="64" t="s">
        <v>110</v>
      </c>
      <c r="F89" s="69"/>
      <c r="G89" s="69"/>
      <c r="H89" s="69"/>
      <c r="I89" s="69"/>
      <c r="J89" s="69"/>
      <c r="K89" s="57"/>
      <c r="L89" s="69"/>
      <c r="M89" s="58">
        <f t="shared" si="15"/>
        <v>300</v>
      </c>
      <c r="N89" s="57"/>
    </row>
    <row r="90" ht="19.5" customHeight="1">
      <c r="A90" s="8"/>
      <c r="B90" s="73"/>
      <c r="C90" s="69"/>
      <c r="D90" s="76">
        <v>45.0</v>
      </c>
      <c r="E90" s="64" t="s">
        <v>111</v>
      </c>
      <c r="F90" s="69"/>
      <c r="G90" s="69"/>
      <c r="H90" s="69"/>
      <c r="I90" s="69"/>
      <c r="J90" s="69"/>
      <c r="K90" s="57"/>
      <c r="L90" s="69"/>
      <c r="M90" s="58">
        <f t="shared" si="15"/>
        <v>45</v>
      </c>
      <c r="N90" s="57"/>
    </row>
    <row r="91" ht="19.5" customHeight="1">
      <c r="A91" s="8"/>
      <c r="B91" s="73"/>
      <c r="C91" s="69"/>
      <c r="D91" s="76">
        <v>10000.0</v>
      </c>
      <c r="E91" s="64" t="s">
        <v>112</v>
      </c>
      <c r="F91" s="69"/>
      <c r="G91" s="69"/>
      <c r="H91" s="69"/>
      <c r="I91" s="69"/>
      <c r="J91" s="69"/>
      <c r="K91" s="58">
        <f>D91</f>
        <v>10000</v>
      </c>
      <c r="L91" s="69"/>
      <c r="M91" s="57"/>
      <c r="N91" s="57"/>
    </row>
    <row r="92" ht="19.5" customHeight="1">
      <c r="A92" s="8"/>
      <c r="B92" s="73"/>
      <c r="C92" s="69" t="s">
        <v>17</v>
      </c>
      <c r="D92" s="69">
        <v>70.0</v>
      </c>
      <c r="E92" s="59" t="s">
        <v>79</v>
      </c>
      <c r="F92" s="69"/>
      <c r="G92" s="69"/>
      <c r="H92" s="69"/>
      <c r="I92" s="69"/>
      <c r="J92" s="69"/>
      <c r="K92" s="57"/>
      <c r="L92" s="69"/>
      <c r="M92" s="57">
        <f t="shared" ref="M92:M96" si="16">D92</f>
        <v>70</v>
      </c>
      <c r="N92" s="57"/>
    </row>
    <row r="93" ht="19.5" customHeight="1">
      <c r="A93" s="8"/>
      <c r="B93" s="73"/>
      <c r="C93" s="69"/>
      <c r="D93" s="69">
        <v>14.0</v>
      </c>
      <c r="E93" s="60" t="s">
        <v>80</v>
      </c>
      <c r="F93" s="69"/>
      <c r="G93" s="69"/>
      <c r="H93" s="69"/>
      <c r="I93" s="69"/>
      <c r="J93" s="69"/>
      <c r="K93" s="57"/>
      <c r="L93" s="69"/>
      <c r="M93" s="57">
        <f t="shared" si="16"/>
        <v>14</v>
      </c>
      <c r="N93" s="57"/>
    </row>
    <row r="94" ht="19.5" customHeight="1">
      <c r="A94" s="8"/>
      <c r="B94" s="73"/>
      <c r="C94" s="69"/>
      <c r="D94" s="69">
        <v>11.0</v>
      </c>
      <c r="E94" s="61" t="s">
        <v>81</v>
      </c>
      <c r="F94" s="69"/>
      <c r="G94" s="69"/>
      <c r="H94" s="69"/>
      <c r="I94" s="69"/>
      <c r="J94" s="69"/>
      <c r="K94" s="57"/>
      <c r="L94" s="69"/>
      <c r="M94" s="57">
        <f t="shared" si="16"/>
        <v>11</v>
      </c>
      <c r="N94" s="57"/>
    </row>
    <row r="95" ht="19.5" customHeight="1">
      <c r="A95" s="8"/>
      <c r="B95" s="73"/>
      <c r="C95" s="69"/>
      <c r="D95" s="69">
        <v>36.0</v>
      </c>
      <c r="E95" s="60" t="s">
        <v>82</v>
      </c>
      <c r="F95" s="69"/>
      <c r="G95" s="69"/>
      <c r="H95" s="69"/>
      <c r="I95" s="69"/>
      <c r="J95" s="69"/>
      <c r="K95" s="57"/>
      <c r="L95" s="69"/>
      <c r="M95" s="57">
        <f t="shared" si="16"/>
        <v>36</v>
      </c>
      <c r="N95" s="57"/>
    </row>
    <row r="96" ht="19.5" customHeight="1">
      <c r="A96" s="8"/>
      <c r="B96" s="73"/>
      <c r="C96" s="69"/>
      <c r="D96" s="69">
        <v>5.4</v>
      </c>
      <c r="E96" s="61" t="s">
        <v>83</v>
      </c>
      <c r="F96" s="69"/>
      <c r="G96" s="69"/>
      <c r="H96" s="69"/>
      <c r="I96" s="69"/>
      <c r="J96" s="69"/>
      <c r="K96" s="57"/>
      <c r="L96" s="69"/>
      <c r="M96" s="57">
        <f t="shared" si="16"/>
        <v>5.4</v>
      </c>
      <c r="N96" s="57"/>
    </row>
    <row r="97" ht="19.5" customHeight="1">
      <c r="A97" s="8"/>
      <c r="B97" s="73"/>
      <c r="C97" s="69"/>
      <c r="D97" s="76">
        <v>10000.0</v>
      </c>
      <c r="E97" s="60" t="s">
        <v>84</v>
      </c>
      <c r="F97" s="69"/>
      <c r="G97" s="69"/>
      <c r="H97" s="69"/>
      <c r="I97" s="69"/>
      <c r="J97" s="69"/>
      <c r="K97" s="58">
        <f t="shared" ref="K97:K106" si="17">D97</f>
        <v>10000</v>
      </c>
      <c r="L97" s="69"/>
      <c r="M97" s="57"/>
      <c r="N97" s="57"/>
    </row>
    <row r="98" ht="19.5" customHeight="1">
      <c r="A98" s="8"/>
      <c r="B98" s="73"/>
      <c r="C98" s="69"/>
      <c r="D98" s="69"/>
      <c r="E98" s="69"/>
      <c r="F98" s="69"/>
      <c r="G98" s="69"/>
      <c r="H98" s="69"/>
      <c r="I98" s="69"/>
      <c r="J98" s="69"/>
      <c r="K98" s="57" t="str">
        <f t="shared" si="17"/>
        <v/>
      </c>
      <c r="L98" s="69"/>
      <c r="M98" s="57" t="str">
        <f t="shared" ref="M98:M106" si="18">D98</f>
        <v/>
      </c>
      <c r="N98" s="57"/>
    </row>
    <row r="99" ht="19.5" customHeight="1">
      <c r="A99" s="8"/>
      <c r="B99" s="73"/>
      <c r="C99" s="69" t="s">
        <v>18</v>
      </c>
      <c r="D99" s="69"/>
      <c r="E99" s="69"/>
      <c r="F99" s="69"/>
      <c r="G99" s="69"/>
      <c r="H99" s="69"/>
      <c r="I99" s="69"/>
      <c r="J99" s="69"/>
      <c r="K99" s="57" t="str">
        <f t="shared" si="17"/>
        <v/>
      </c>
      <c r="L99" s="69"/>
      <c r="M99" s="57" t="str">
        <f t="shared" si="18"/>
        <v/>
      </c>
      <c r="N99" s="57"/>
    </row>
    <row r="100" ht="19.5" customHeight="1">
      <c r="A100" s="8"/>
      <c r="B100" s="73"/>
      <c r="C100" s="69" t="s">
        <v>19</v>
      </c>
      <c r="D100" s="69"/>
      <c r="E100" s="69"/>
      <c r="F100" s="69"/>
      <c r="G100" s="69"/>
      <c r="H100" s="69"/>
      <c r="I100" s="69"/>
      <c r="J100" s="69"/>
      <c r="K100" s="57" t="str">
        <f t="shared" si="17"/>
        <v/>
      </c>
      <c r="L100" s="69"/>
      <c r="M100" s="57" t="str">
        <f t="shared" si="18"/>
        <v/>
      </c>
      <c r="N100" s="57"/>
    </row>
    <row r="101" ht="19.5" customHeight="1">
      <c r="A101" s="8"/>
      <c r="B101" s="73"/>
      <c r="C101" s="69" t="s">
        <v>20</v>
      </c>
      <c r="D101" s="69"/>
      <c r="E101" s="69"/>
      <c r="F101" s="69"/>
      <c r="G101" s="69"/>
      <c r="H101" s="69"/>
      <c r="I101" s="69"/>
      <c r="J101" s="69"/>
      <c r="K101" s="57" t="str">
        <f t="shared" si="17"/>
        <v/>
      </c>
      <c r="L101" s="69"/>
      <c r="M101" s="57" t="str">
        <f t="shared" si="18"/>
        <v/>
      </c>
      <c r="N101" s="57"/>
    </row>
    <row r="102" ht="19.5" customHeight="1">
      <c r="A102" s="8"/>
      <c r="B102" s="73"/>
      <c r="C102" s="69" t="s">
        <v>21</v>
      </c>
      <c r="D102" s="69"/>
      <c r="E102" s="69"/>
      <c r="F102" s="69"/>
      <c r="G102" s="69"/>
      <c r="H102" s="69"/>
      <c r="I102" s="69"/>
      <c r="J102" s="69"/>
      <c r="K102" s="57" t="str">
        <f t="shared" si="17"/>
        <v/>
      </c>
      <c r="L102" s="69"/>
      <c r="M102" s="57" t="str">
        <f t="shared" si="18"/>
        <v/>
      </c>
      <c r="N102" s="57"/>
    </row>
    <row r="103" ht="19.5" customHeight="1">
      <c r="A103" s="8"/>
      <c r="B103" s="73"/>
      <c r="C103" s="69" t="s">
        <v>22</v>
      </c>
      <c r="D103" s="69"/>
      <c r="E103" s="69"/>
      <c r="F103" s="69"/>
      <c r="G103" s="69"/>
      <c r="H103" s="69"/>
      <c r="I103" s="69"/>
      <c r="J103" s="69"/>
      <c r="K103" s="57" t="str">
        <f t="shared" si="17"/>
        <v/>
      </c>
      <c r="L103" s="69"/>
      <c r="M103" s="57" t="str">
        <f t="shared" si="18"/>
        <v/>
      </c>
      <c r="N103" s="57"/>
    </row>
    <row r="104" ht="19.5" customHeight="1">
      <c r="A104" s="8"/>
      <c r="B104" s="73"/>
      <c r="C104" s="69" t="s">
        <v>23</v>
      </c>
      <c r="D104" s="69"/>
      <c r="E104" s="69"/>
      <c r="F104" s="69"/>
      <c r="G104" s="69"/>
      <c r="H104" s="69"/>
      <c r="I104" s="69"/>
      <c r="J104" s="69"/>
      <c r="K104" s="57" t="str">
        <f t="shared" si="17"/>
        <v/>
      </c>
      <c r="L104" s="69"/>
      <c r="M104" s="57" t="str">
        <f t="shared" si="18"/>
        <v/>
      </c>
      <c r="N104" s="57"/>
    </row>
    <row r="105" ht="19.5" customHeight="1">
      <c r="A105" s="8"/>
      <c r="B105" s="77" t="s">
        <v>8</v>
      </c>
      <c r="C105" s="69"/>
      <c r="D105" s="69"/>
      <c r="E105" s="69"/>
      <c r="F105" s="69"/>
      <c r="G105" s="69"/>
      <c r="H105" s="69"/>
      <c r="I105" s="69"/>
      <c r="J105" s="69"/>
      <c r="K105" s="57" t="str">
        <f t="shared" si="17"/>
        <v/>
      </c>
      <c r="L105" s="69"/>
      <c r="M105" s="57" t="str">
        <f t="shared" si="18"/>
        <v/>
      </c>
      <c r="N105" s="57"/>
    </row>
    <row r="106" ht="19.5" customHeight="1">
      <c r="A106" s="8"/>
      <c r="B106" s="77"/>
      <c r="C106" s="69"/>
      <c r="D106" s="69"/>
      <c r="E106" s="69"/>
      <c r="F106" s="69"/>
      <c r="G106" s="69"/>
      <c r="H106" s="69"/>
      <c r="I106" s="69"/>
      <c r="J106" s="69"/>
      <c r="K106" s="57" t="str">
        <f t="shared" si="17"/>
        <v/>
      </c>
      <c r="L106" s="69"/>
      <c r="M106" s="57" t="str">
        <f t="shared" si="18"/>
        <v/>
      </c>
      <c r="N106" s="57"/>
    </row>
    <row r="107" ht="19.5" customHeight="1">
      <c r="A107" s="8"/>
      <c r="B107" s="78" t="s">
        <v>113</v>
      </c>
      <c r="C107" s="20" t="s">
        <v>12</v>
      </c>
      <c r="D107" s="76">
        <v>150000.0</v>
      </c>
      <c r="E107" s="69" t="s">
        <v>90</v>
      </c>
      <c r="F107" s="69"/>
      <c r="G107" s="69"/>
      <c r="H107" s="69"/>
      <c r="I107" s="69"/>
      <c r="J107" s="69"/>
      <c r="L107" s="58">
        <f t="shared" ref="L107:L111" si="19">D107</f>
        <v>150000</v>
      </c>
      <c r="M107" s="57"/>
      <c r="N107" s="57"/>
    </row>
    <row r="108" ht="19.5" customHeight="1">
      <c r="A108" s="8"/>
      <c r="B108" s="79"/>
      <c r="C108" s="23" t="s">
        <v>13</v>
      </c>
      <c r="D108" s="26">
        <v>200000.0</v>
      </c>
      <c r="E108" s="72" t="s">
        <v>90</v>
      </c>
      <c r="F108" s="75"/>
      <c r="G108" s="75"/>
      <c r="H108" s="75"/>
      <c r="I108" s="75"/>
      <c r="J108" s="75"/>
      <c r="K108" s="57"/>
      <c r="L108" s="58">
        <f t="shared" si="19"/>
        <v>200000</v>
      </c>
      <c r="M108" s="57"/>
      <c r="N108" s="57"/>
    </row>
    <row r="109" ht="19.5" customHeight="1">
      <c r="A109" s="8"/>
      <c r="B109" s="30"/>
      <c r="C109" s="20" t="s">
        <v>14</v>
      </c>
      <c r="D109" s="76">
        <v>320000.0</v>
      </c>
      <c r="E109" s="69" t="s">
        <v>90</v>
      </c>
      <c r="F109" s="80"/>
      <c r="G109" s="80"/>
      <c r="H109" s="80"/>
      <c r="I109" s="80"/>
      <c r="J109" s="80"/>
      <c r="K109" s="57"/>
      <c r="L109" s="58">
        <f t="shared" si="19"/>
        <v>320000</v>
      </c>
      <c r="M109" s="57"/>
      <c r="N109" s="57"/>
    </row>
    <row r="110" ht="19.5" customHeight="1">
      <c r="A110" s="8"/>
      <c r="B110" s="79"/>
      <c r="C110" s="23" t="s">
        <v>15</v>
      </c>
      <c r="D110" s="26">
        <v>200000.0</v>
      </c>
      <c r="E110" s="72" t="s">
        <v>90</v>
      </c>
      <c r="F110" s="75"/>
      <c r="G110" s="75"/>
      <c r="H110" s="75"/>
      <c r="I110" s="75"/>
      <c r="J110" s="75"/>
      <c r="K110" s="57"/>
      <c r="L110" s="58">
        <f t="shared" si="19"/>
        <v>200000</v>
      </c>
      <c r="M110" s="57"/>
      <c r="N110" s="57"/>
    </row>
    <row r="111" ht="19.5" customHeight="1">
      <c r="A111" s="8"/>
      <c r="B111" s="30"/>
      <c r="C111" s="20" t="s">
        <v>16</v>
      </c>
      <c r="D111" s="76">
        <v>350000.0</v>
      </c>
      <c r="E111" s="69" t="s">
        <v>90</v>
      </c>
      <c r="F111" s="80"/>
      <c r="G111" s="80"/>
      <c r="H111" s="80"/>
      <c r="I111" s="80"/>
      <c r="J111" s="80"/>
      <c r="K111" s="57"/>
      <c r="L111" s="58">
        <f t="shared" si="19"/>
        <v>350000</v>
      </c>
      <c r="M111" s="57"/>
      <c r="N111" s="57"/>
    </row>
    <row r="112" ht="19.5" customHeight="1">
      <c r="A112" s="8"/>
      <c r="B112" s="30"/>
      <c r="C112" s="14" t="s">
        <v>17</v>
      </c>
      <c r="D112" s="80"/>
      <c r="E112" s="80"/>
      <c r="F112" s="80"/>
      <c r="G112" s="80"/>
      <c r="H112" s="80"/>
      <c r="I112" s="80"/>
      <c r="J112" s="80"/>
      <c r="K112" s="57" t="str">
        <f t="shared" ref="K112:K121" si="20">D112</f>
        <v/>
      </c>
      <c r="L112" s="80"/>
      <c r="M112" s="57" t="str">
        <f t="shared" ref="M112:M124" si="21">D112</f>
        <v/>
      </c>
      <c r="N112" s="57"/>
    </row>
    <row r="113" ht="19.5" customHeight="1">
      <c r="A113" s="8"/>
      <c r="B113" s="30"/>
      <c r="C113" s="14" t="s">
        <v>18</v>
      </c>
      <c r="D113" s="80"/>
      <c r="E113" s="80"/>
      <c r="F113" s="80"/>
      <c r="G113" s="80"/>
      <c r="H113" s="80"/>
      <c r="I113" s="80"/>
      <c r="J113" s="80"/>
      <c r="K113" s="57" t="str">
        <f t="shared" si="20"/>
        <v/>
      </c>
      <c r="L113" s="80"/>
      <c r="M113" s="57" t="str">
        <f t="shared" si="21"/>
        <v/>
      </c>
      <c r="N113" s="57"/>
    </row>
    <row r="114" ht="19.5" customHeight="1">
      <c r="A114" s="8"/>
      <c r="B114" s="30"/>
      <c r="C114" s="14" t="s">
        <v>19</v>
      </c>
      <c r="D114" s="80"/>
      <c r="E114" s="80"/>
      <c r="F114" s="80"/>
      <c r="G114" s="80"/>
      <c r="H114" s="80"/>
      <c r="I114" s="80"/>
      <c r="J114" s="80"/>
      <c r="K114" s="57" t="str">
        <f t="shared" si="20"/>
        <v/>
      </c>
      <c r="L114" s="80"/>
      <c r="M114" s="57" t="str">
        <f t="shared" si="21"/>
        <v/>
      </c>
      <c r="N114" s="57"/>
    </row>
    <row r="115" ht="19.5" customHeight="1">
      <c r="A115" s="8"/>
      <c r="B115" s="30"/>
      <c r="C115" s="14" t="s">
        <v>20</v>
      </c>
      <c r="D115" s="80"/>
      <c r="E115" s="80"/>
      <c r="F115" s="80"/>
      <c r="G115" s="80"/>
      <c r="H115" s="80"/>
      <c r="I115" s="80"/>
      <c r="J115" s="80"/>
      <c r="K115" s="57" t="str">
        <f t="shared" si="20"/>
        <v/>
      </c>
      <c r="L115" s="80"/>
      <c r="M115" s="57" t="str">
        <f t="shared" si="21"/>
        <v/>
      </c>
      <c r="N115" s="57"/>
    </row>
    <row r="116" ht="19.5" customHeight="1">
      <c r="A116" s="8"/>
      <c r="B116" s="74"/>
      <c r="C116" s="75" t="s">
        <v>21</v>
      </c>
      <c r="D116" s="75"/>
      <c r="E116" s="75"/>
      <c r="F116" s="75"/>
      <c r="G116" s="75"/>
      <c r="H116" s="75"/>
      <c r="I116" s="75"/>
      <c r="J116" s="75"/>
      <c r="K116" s="57" t="str">
        <f t="shared" si="20"/>
        <v/>
      </c>
      <c r="L116" s="75"/>
      <c r="M116" s="57" t="str">
        <f t="shared" si="21"/>
        <v/>
      </c>
      <c r="N116" s="57"/>
    </row>
    <row r="117" ht="19.5" customHeight="1">
      <c r="A117" s="8"/>
      <c r="B117" s="73"/>
      <c r="C117" s="80" t="s">
        <v>22</v>
      </c>
      <c r="D117" s="80"/>
      <c r="E117" s="80"/>
      <c r="F117" s="80"/>
      <c r="G117" s="80"/>
      <c r="H117" s="80"/>
      <c r="I117" s="80"/>
      <c r="J117" s="80"/>
      <c r="K117" s="57" t="str">
        <f t="shared" si="20"/>
        <v/>
      </c>
      <c r="L117" s="80"/>
      <c r="M117" s="57" t="str">
        <f t="shared" si="21"/>
        <v/>
      </c>
      <c r="N117" s="57"/>
    </row>
    <row r="118" ht="19.5" customHeight="1">
      <c r="A118" s="8"/>
      <c r="B118" s="74"/>
      <c r="C118" s="75" t="s">
        <v>23</v>
      </c>
      <c r="D118" s="75"/>
      <c r="E118" s="75"/>
      <c r="F118" s="75"/>
      <c r="G118" s="75"/>
      <c r="H118" s="75"/>
      <c r="I118" s="75"/>
      <c r="J118" s="75"/>
      <c r="K118" s="57" t="str">
        <f t="shared" si="20"/>
        <v/>
      </c>
      <c r="L118" s="75"/>
      <c r="M118" s="57" t="str">
        <f t="shared" si="21"/>
        <v/>
      </c>
      <c r="N118" s="57"/>
    </row>
    <row r="119" ht="19.5" customHeight="1">
      <c r="A119" s="81"/>
      <c r="B119" s="77" t="s">
        <v>8</v>
      </c>
      <c r="C119" s="82"/>
      <c r="D119" s="82"/>
      <c r="E119" s="82"/>
      <c r="F119" s="82"/>
      <c r="G119" s="82"/>
      <c r="H119" s="82"/>
      <c r="I119" s="82"/>
      <c r="J119" s="82"/>
      <c r="K119" s="57" t="str">
        <f t="shared" si="20"/>
        <v/>
      </c>
      <c r="L119" s="82"/>
      <c r="M119" s="57" t="str">
        <f t="shared" si="21"/>
        <v/>
      </c>
      <c r="N119" s="82"/>
    </row>
    <row r="120" ht="19.5" customHeight="1">
      <c r="A120" s="81"/>
      <c r="B120" s="83"/>
      <c r="C120" s="82"/>
      <c r="D120" s="82"/>
      <c r="E120" s="82"/>
      <c r="F120" s="82"/>
      <c r="G120" s="82"/>
      <c r="H120" s="82"/>
      <c r="I120" s="82"/>
      <c r="J120" s="82"/>
      <c r="K120" s="57" t="str">
        <f t="shared" si="20"/>
        <v/>
      </c>
      <c r="L120" s="82"/>
      <c r="M120" s="57" t="str">
        <f t="shared" si="21"/>
        <v/>
      </c>
      <c r="N120" s="57"/>
    </row>
    <row r="121" ht="19.5" customHeight="1">
      <c r="A121" s="81"/>
      <c r="B121" s="83"/>
      <c r="C121" s="82"/>
      <c r="D121" s="82"/>
      <c r="E121" s="82"/>
      <c r="F121" s="82"/>
      <c r="G121" s="82"/>
      <c r="H121" s="82"/>
      <c r="I121" s="82"/>
      <c r="J121" s="82"/>
      <c r="K121" s="57" t="str">
        <f t="shared" si="20"/>
        <v/>
      </c>
      <c r="L121" s="82"/>
      <c r="M121" s="57" t="str">
        <f t="shared" si="21"/>
        <v/>
      </c>
      <c r="N121" s="57"/>
    </row>
    <row r="122" ht="19.5" customHeight="1">
      <c r="A122" s="8"/>
      <c r="B122" s="84" t="s">
        <v>114</v>
      </c>
      <c r="C122" s="80" t="s">
        <v>12</v>
      </c>
      <c r="D122" s="69">
        <v>209.0</v>
      </c>
      <c r="E122" s="61" t="s">
        <v>81</v>
      </c>
      <c r="F122" s="69"/>
      <c r="G122" s="69"/>
      <c r="H122" s="69"/>
      <c r="I122" s="69"/>
      <c r="J122" s="69"/>
      <c r="K122" s="57"/>
      <c r="L122" s="69"/>
      <c r="M122" s="57">
        <f t="shared" si="21"/>
        <v>209</v>
      </c>
      <c r="N122" s="57"/>
    </row>
    <row r="123" ht="19.5" customHeight="1">
      <c r="A123" s="8"/>
      <c r="B123" s="84"/>
      <c r="C123" s="80"/>
      <c r="D123" s="69">
        <v>696.0</v>
      </c>
      <c r="E123" s="60" t="s">
        <v>82</v>
      </c>
      <c r="F123" s="69"/>
      <c r="G123" s="69"/>
      <c r="H123" s="69"/>
      <c r="I123" s="69"/>
      <c r="J123" s="69"/>
      <c r="K123" s="57"/>
      <c r="L123" s="69"/>
      <c r="M123" s="57">
        <f t="shared" si="21"/>
        <v>696</v>
      </c>
      <c r="N123" s="57"/>
    </row>
    <row r="124" ht="19.5" customHeight="1">
      <c r="A124" s="8"/>
      <c r="B124" s="84"/>
      <c r="C124" s="80"/>
      <c r="D124" s="69">
        <v>104.4</v>
      </c>
      <c r="E124" s="61" t="s">
        <v>83</v>
      </c>
      <c r="F124" s="69"/>
      <c r="G124" s="69"/>
      <c r="H124" s="69"/>
      <c r="I124" s="69"/>
      <c r="J124" s="69"/>
      <c r="K124" s="57"/>
      <c r="L124" s="69"/>
      <c r="M124" s="57">
        <f t="shared" si="21"/>
        <v>104.4</v>
      </c>
      <c r="N124" s="57"/>
    </row>
    <row r="125" ht="19.5" customHeight="1">
      <c r="A125" s="8"/>
      <c r="B125" s="84"/>
      <c r="C125" s="80"/>
      <c r="D125" s="76">
        <v>372000.0</v>
      </c>
      <c r="E125" s="60" t="s">
        <v>84</v>
      </c>
      <c r="F125" s="69"/>
      <c r="G125" s="69"/>
      <c r="H125" s="69"/>
      <c r="I125" s="69"/>
      <c r="J125" s="69"/>
      <c r="K125" s="58">
        <f>D125</f>
        <v>372000</v>
      </c>
      <c r="L125" s="69"/>
      <c r="M125" s="57"/>
      <c r="N125" s="57"/>
    </row>
    <row r="126" ht="19.5" customHeight="1">
      <c r="A126" s="8"/>
      <c r="B126" s="84"/>
      <c r="C126" s="80"/>
      <c r="D126" s="76">
        <v>1736.0</v>
      </c>
      <c r="E126" s="69" t="s">
        <v>115</v>
      </c>
      <c r="F126" s="69"/>
      <c r="G126" s="69"/>
      <c r="H126" s="69"/>
      <c r="I126" s="69"/>
      <c r="J126" s="69"/>
      <c r="K126" s="57"/>
      <c r="L126" s="69"/>
      <c r="M126" s="58">
        <f>D126</f>
        <v>1736</v>
      </c>
      <c r="N126" s="57"/>
    </row>
    <row r="127" ht="19.5" customHeight="1">
      <c r="A127" s="8"/>
      <c r="B127" s="84"/>
      <c r="C127" s="80"/>
      <c r="D127" s="76">
        <v>10000.0</v>
      </c>
      <c r="E127" s="69" t="s">
        <v>116</v>
      </c>
      <c r="F127" s="69"/>
      <c r="G127" s="69"/>
      <c r="H127" s="69"/>
      <c r="I127" s="69"/>
      <c r="J127" s="69"/>
      <c r="K127" s="58">
        <f>D127</f>
        <v>10000</v>
      </c>
      <c r="L127" s="69"/>
      <c r="M127" s="57"/>
      <c r="N127" s="57"/>
    </row>
    <row r="128" ht="19.5" customHeight="1">
      <c r="A128" s="8"/>
      <c r="B128" s="84"/>
      <c r="C128" s="80"/>
      <c r="D128" s="69">
        <v>30.0</v>
      </c>
      <c r="E128" s="69" t="s">
        <v>117</v>
      </c>
      <c r="F128" s="69"/>
      <c r="G128" s="69"/>
      <c r="H128" s="69"/>
      <c r="I128" s="69"/>
      <c r="J128" s="69"/>
      <c r="K128" s="57"/>
      <c r="L128" s="69"/>
      <c r="M128" s="57">
        <f t="shared" ref="M128:M133" si="22">D128</f>
        <v>30</v>
      </c>
      <c r="N128" s="57"/>
    </row>
    <row r="129" ht="19.5" customHeight="1">
      <c r="A129" s="8"/>
      <c r="B129" s="84"/>
      <c r="C129" s="80"/>
      <c r="D129" s="69">
        <v>4.5</v>
      </c>
      <c r="E129" s="69" t="s">
        <v>118</v>
      </c>
      <c r="F129" s="69"/>
      <c r="G129" s="69"/>
      <c r="H129" s="69"/>
      <c r="I129" s="69"/>
      <c r="J129" s="69"/>
      <c r="K129" s="57"/>
      <c r="L129" s="69"/>
      <c r="M129" s="57">
        <f t="shared" si="22"/>
        <v>4.5</v>
      </c>
      <c r="N129" s="57"/>
    </row>
    <row r="130" ht="19.5" customHeight="1">
      <c r="A130" s="8"/>
      <c r="B130" s="84"/>
      <c r="C130" s="80"/>
      <c r="D130" s="69"/>
      <c r="E130" s="69"/>
      <c r="F130" s="69"/>
      <c r="G130" s="69"/>
      <c r="H130" s="69"/>
      <c r="I130" s="69"/>
      <c r="J130" s="69"/>
      <c r="K130" s="57" t="str">
        <f>D130</f>
        <v/>
      </c>
      <c r="L130" s="69"/>
      <c r="M130" s="57" t="str">
        <f t="shared" si="22"/>
        <v/>
      </c>
      <c r="N130" s="57"/>
    </row>
    <row r="131" ht="19.5" customHeight="1">
      <c r="A131" s="8"/>
      <c r="B131" s="74"/>
      <c r="C131" s="75" t="s">
        <v>13</v>
      </c>
      <c r="D131" s="72">
        <v>265.0</v>
      </c>
      <c r="E131" s="61" t="s">
        <v>81</v>
      </c>
      <c r="F131" s="72"/>
      <c r="G131" s="72"/>
      <c r="H131" s="72"/>
      <c r="I131" s="72"/>
      <c r="J131" s="72"/>
      <c r="K131" s="57"/>
      <c r="L131" s="72"/>
      <c r="M131" s="57">
        <f t="shared" si="22"/>
        <v>265</v>
      </c>
      <c r="N131" s="57"/>
    </row>
    <row r="132" ht="19.5" customHeight="1">
      <c r="A132" s="8"/>
      <c r="B132" s="74"/>
      <c r="C132" s="75"/>
      <c r="D132" s="72">
        <v>269.0</v>
      </c>
      <c r="E132" s="60" t="s">
        <v>82</v>
      </c>
      <c r="F132" s="72"/>
      <c r="G132" s="72"/>
      <c r="H132" s="72"/>
      <c r="I132" s="72"/>
      <c r="J132" s="72"/>
      <c r="K132" s="57"/>
      <c r="L132" s="72"/>
      <c r="M132" s="57">
        <f t="shared" si="22"/>
        <v>269</v>
      </c>
      <c r="N132" s="57"/>
    </row>
    <row r="133" ht="19.5" customHeight="1">
      <c r="A133" s="8"/>
      <c r="B133" s="74"/>
      <c r="C133" s="75"/>
      <c r="D133" s="72">
        <v>107.6</v>
      </c>
      <c r="E133" s="61" t="s">
        <v>83</v>
      </c>
      <c r="F133" s="72"/>
      <c r="G133" s="72"/>
      <c r="H133" s="72"/>
      <c r="I133" s="72"/>
      <c r="J133" s="72"/>
      <c r="K133" s="57"/>
      <c r="L133" s="72"/>
      <c r="M133" s="57">
        <f t="shared" si="22"/>
        <v>107.6</v>
      </c>
      <c r="N133" s="57"/>
    </row>
    <row r="134" ht="19.5" customHeight="1">
      <c r="A134" s="8"/>
      <c r="B134" s="74"/>
      <c r="C134" s="75"/>
      <c r="D134" s="26">
        <v>767000.0</v>
      </c>
      <c r="E134" s="60" t="s">
        <v>84</v>
      </c>
      <c r="F134" s="72"/>
      <c r="G134" s="72"/>
      <c r="H134" s="72"/>
      <c r="I134" s="72"/>
      <c r="J134" s="72"/>
      <c r="K134" s="58">
        <f t="shared" ref="K134:K135" si="23">D134</f>
        <v>767000</v>
      </c>
      <c r="L134" s="72"/>
      <c r="M134" s="57"/>
      <c r="N134" s="57"/>
    </row>
    <row r="135" ht="19.5" customHeight="1">
      <c r="A135" s="8"/>
      <c r="B135" s="74"/>
      <c r="C135" s="75"/>
      <c r="D135" s="26">
        <v>5000.0</v>
      </c>
      <c r="E135" s="72" t="s">
        <v>112</v>
      </c>
      <c r="F135" s="72"/>
      <c r="G135" s="72"/>
      <c r="H135" s="72"/>
      <c r="I135" s="72"/>
      <c r="J135" s="72"/>
      <c r="K135" s="58">
        <f t="shared" si="23"/>
        <v>5000</v>
      </c>
      <c r="L135" s="72"/>
      <c r="M135" s="57"/>
      <c r="N135" s="57"/>
    </row>
    <row r="136" ht="19.5" customHeight="1">
      <c r="A136" s="8"/>
      <c r="B136" s="74"/>
      <c r="C136" s="75"/>
      <c r="D136" s="72">
        <v>180.0</v>
      </c>
      <c r="E136" s="72" t="s">
        <v>119</v>
      </c>
      <c r="F136" s="72"/>
      <c r="G136" s="72"/>
      <c r="H136" s="72"/>
      <c r="I136" s="72"/>
      <c r="J136" s="72"/>
      <c r="K136" s="57"/>
      <c r="L136" s="72"/>
      <c r="M136" s="57">
        <f t="shared" ref="M136:M138" si="24">D136</f>
        <v>180</v>
      </c>
      <c r="N136" s="57"/>
    </row>
    <row r="137" ht="19.5" customHeight="1">
      <c r="A137" s="8"/>
      <c r="B137" s="74"/>
      <c r="C137" s="75"/>
      <c r="D137" s="72">
        <v>27.0</v>
      </c>
      <c r="E137" s="72" t="s">
        <v>118</v>
      </c>
      <c r="F137" s="72"/>
      <c r="G137" s="72"/>
      <c r="H137" s="72"/>
      <c r="I137" s="72"/>
      <c r="J137" s="72"/>
      <c r="K137" s="57"/>
      <c r="L137" s="72"/>
      <c r="M137" s="57">
        <f t="shared" si="24"/>
        <v>27</v>
      </c>
      <c r="N137" s="57"/>
    </row>
    <row r="138" ht="19.5" customHeight="1">
      <c r="A138" s="8"/>
      <c r="B138" s="74"/>
      <c r="C138" s="75"/>
      <c r="D138" s="72">
        <v>25.0</v>
      </c>
      <c r="E138" s="72" t="s">
        <v>120</v>
      </c>
      <c r="F138" s="72"/>
      <c r="G138" s="72"/>
      <c r="H138" s="72"/>
      <c r="I138" s="72"/>
      <c r="J138" s="72"/>
      <c r="K138" s="57"/>
      <c r="L138" s="72"/>
      <c r="M138" s="57">
        <f t="shared" si="24"/>
        <v>25</v>
      </c>
      <c r="N138" s="57"/>
    </row>
    <row r="139" ht="19.5" customHeight="1">
      <c r="A139" s="8"/>
      <c r="B139" s="74"/>
      <c r="C139" s="75"/>
      <c r="D139" s="26">
        <v>10000.0</v>
      </c>
      <c r="E139" s="72" t="s">
        <v>99</v>
      </c>
      <c r="F139" s="72"/>
      <c r="G139" s="72"/>
      <c r="H139" s="72"/>
      <c r="I139" s="72"/>
      <c r="J139" s="72"/>
      <c r="K139" s="58">
        <f t="shared" ref="K139:K141" si="25">D139</f>
        <v>10000</v>
      </c>
      <c r="L139" s="72"/>
      <c r="M139" s="57"/>
      <c r="N139" s="57"/>
    </row>
    <row r="140" ht="19.5" customHeight="1">
      <c r="A140" s="8"/>
      <c r="B140" s="74"/>
      <c r="C140" s="75"/>
      <c r="D140" s="26">
        <v>33000.0</v>
      </c>
      <c r="E140" s="72" t="s">
        <v>121</v>
      </c>
      <c r="F140" s="72"/>
      <c r="G140" s="72"/>
      <c r="H140" s="72"/>
      <c r="I140" s="72"/>
      <c r="J140" s="72"/>
      <c r="K140" s="58">
        <f t="shared" si="25"/>
        <v>33000</v>
      </c>
      <c r="L140" s="72"/>
      <c r="M140" s="57"/>
      <c r="N140" s="57"/>
    </row>
    <row r="141" ht="19.5" customHeight="1">
      <c r="A141" s="8"/>
      <c r="B141" s="74"/>
      <c r="C141" s="75"/>
      <c r="D141" s="26">
        <v>40000.0</v>
      </c>
      <c r="E141" s="72" t="s">
        <v>122</v>
      </c>
      <c r="F141" s="72"/>
      <c r="G141" s="72"/>
      <c r="H141" s="72"/>
      <c r="I141" s="72"/>
      <c r="J141" s="72"/>
      <c r="K141" s="58">
        <f t="shared" si="25"/>
        <v>40000</v>
      </c>
      <c r="L141" s="72"/>
      <c r="M141" s="57"/>
      <c r="N141" s="57"/>
    </row>
    <row r="142" ht="19.5" customHeight="1">
      <c r="A142" s="8"/>
      <c r="B142" s="74"/>
      <c r="C142" s="75"/>
      <c r="D142" s="26">
        <v>4000.0</v>
      </c>
      <c r="E142" s="72" t="s">
        <v>123</v>
      </c>
      <c r="F142" s="72"/>
      <c r="G142" s="72"/>
      <c r="H142" s="72"/>
      <c r="I142" s="72"/>
      <c r="J142" s="72"/>
      <c r="K142" s="57"/>
      <c r="L142" s="72"/>
      <c r="M142" s="58">
        <f t="shared" ref="M142:M145" si="26">D142</f>
        <v>4000</v>
      </c>
      <c r="N142" s="57"/>
    </row>
    <row r="143" ht="19.5" customHeight="1">
      <c r="A143" s="8"/>
      <c r="B143" s="73"/>
      <c r="C143" s="69" t="s">
        <v>14</v>
      </c>
      <c r="D143" s="69">
        <v>197.0</v>
      </c>
      <c r="E143" s="61" t="s">
        <v>81</v>
      </c>
      <c r="F143" s="69"/>
      <c r="G143" s="69"/>
      <c r="H143" s="69"/>
      <c r="I143" s="69"/>
      <c r="J143" s="69"/>
      <c r="K143" s="57"/>
      <c r="L143" s="69"/>
      <c r="M143" s="57">
        <f t="shared" si="26"/>
        <v>197</v>
      </c>
      <c r="N143" s="57"/>
    </row>
    <row r="144" ht="19.5" customHeight="1">
      <c r="A144" s="8"/>
      <c r="B144" s="73"/>
      <c r="C144" s="69"/>
      <c r="D144" s="69">
        <v>623.0</v>
      </c>
      <c r="E144" s="60" t="s">
        <v>82</v>
      </c>
      <c r="F144" s="69"/>
      <c r="G144" s="69"/>
      <c r="H144" s="69"/>
      <c r="I144" s="69"/>
      <c r="J144" s="69"/>
      <c r="K144" s="57"/>
      <c r="L144" s="69"/>
      <c r="M144" s="57">
        <f t="shared" si="26"/>
        <v>623</v>
      </c>
      <c r="N144" s="57"/>
    </row>
    <row r="145" ht="19.5" customHeight="1">
      <c r="A145" s="8"/>
      <c r="B145" s="73"/>
      <c r="C145" s="69"/>
      <c r="D145" s="69">
        <v>103.9</v>
      </c>
      <c r="E145" s="61" t="s">
        <v>83</v>
      </c>
      <c r="F145" s="69"/>
      <c r="G145" s="69"/>
      <c r="H145" s="69"/>
      <c r="I145" s="69"/>
      <c r="J145" s="69"/>
      <c r="K145" s="57"/>
      <c r="L145" s="69"/>
      <c r="M145" s="57">
        <f t="shared" si="26"/>
        <v>103.9</v>
      </c>
      <c r="N145" s="57"/>
    </row>
    <row r="146" ht="19.5" customHeight="1">
      <c r="A146" s="8"/>
      <c r="B146" s="73"/>
      <c r="C146" s="69"/>
      <c r="D146" s="76">
        <v>186000.0</v>
      </c>
      <c r="E146" s="60" t="s">
        <v>84</v>
      </c>
      <c r="F146" s="69"/>
      <c r="G146" s="69"/>
      <c r="H146" s="69"/>
      <c r="I146" s="69"/>
      <c r="J146" s="69"/>
      <c r="K146" s="58">
        <f>D146</f>
        <v>186000</v>
      </c>
      <c r="L146" s="69"/>
      <c r="M146" s="57"/>
      <c r="N146" s="57"/>
    </row>
    <row r="147" ht="19.5" customHeight="1">
      <c r="A147" s="8"/>
      <c r="B147" s="73"/>
      <c r="C147" s="69"/>
      <c r="D147" s="69">
        <v>50.0</v>
      </c>
      <c r="E147" s="72" t="s">
        <v>120</v>
      </c>
      <c r="F147" s="69"/>
      <c r="G147" s="69"/>
      <c r="H147" s="69"/>
      <c r="I147" s="69"/>
      <c r="J147" s="69"/>
      <c r="K147" s="57"/>
      <c r="L147" s="69"/>
      <c r="M147" s="57">
        <f>D147</f>
        <v>50</v>
      </c>
      <c r="N147" s="57"/>
    </row>
    <row r="148" ht="19.5" customHeight="1">
      <c r="A148" s="8"/>
      <c r="B148" s="73"/>
      <c r="C148" s="69"/>
      <c r="D148" s="76">
        <v>20000.0</v>
      </c>
      <c r="E148" s="69" t="s">
        <v>121</v>
      </c>
      <c r="F148" s="69"/>
      <c r="G148" s="69"/>
      <c r="H148" s="69"/>
      <c r="I148" s="69"/>
      <c r="J148" s="69"/>
      <c r="K148" s="58">
        <f>D148</f>
        <v>20000</v>
      </c>
      <c r="L148" s="69"/>
      <c r="M148" s="57"/>
      <c r="N148" s="57"/>
    </row>
    <row r="149" ht="19.5" customHeight="1">
      <c r="A149" s="8"/>
      <c r="B149" s="73"/>
      <c r="C149" s="69"/>
      <c r="D149" s="69">
        <v>120.0</v>
      </c>
      <c r="E149" s="69" t="s">
        <v>119</v>
      </c>
      <c r="F149" s="69"/>
      <c r="G149" s="69"/>
      <c r="H149" s="69"/>
      <c r="I149" s="69"/>
      <c r="J149" s="69"/>
      <c r="K149" s="57"/>
      <c r="L149" s="69"/>
      <c r="M149" s="57">
        <f t="shared" ref="M149:M151" si="27">D149</f>
        <v>120</v>
      </c>
      <c r="N149" s="57"/>
    </row>
    <row r="150" ht="19.5" customHeight="1">
      <c r="A150" s="8"/>
      <c r="B150" s="73"/>
      <c r="C150" s="69"/>
      <c r="D150" s="69">
        <v>18.0</v>
      </c>
      <c r="E150" s="69" t="s">
        <v>118</v>
      </c>
      <c r="F150" s="69"/>
      <c r="G150" s="69"/>
      <c r="H150" s="69"/>
      <c r="I150" s="69"/>
      <c r="J150" s="69"/>
      <c r="K150" s="57"/>
      <c r="L150" s="69"/>
      <c r="M150" s="57">
        <f t="shared" si="27"/>
        <v>18</v>
      </c>
      <c r="N150" s="57"/>
    </row>
    <row r="151" ht="19.5" customHeight="1">
      <c r="A151" s="8"/>
      <c r="B151" s="73"/>
      <c r="C151" s="69"/>
      <c r="D151" s="69">
        <v>3.657</v>
      </c>
      <c r="E151" s="69" t="s">
        <v>124</v>
      </c>
      <c r="F151" s="69"/>
      <c r="G151" s="69"/>
      <c r="H151" s="69"/>
      <c r="I151" s="69"/>
      <c r="J151" s="69"/>
      <c r="K151" s="57"/>
      <c r="L151" s="69"/>
      <c r="M151" s="57">
        <f t="shared" si="27"/>
        <v>3.657</v>
      </c>
      <c r="N151" s="57"/>
    </row>
    <row r="152" ht="19.5" customHeight="1">
      <c r="A152" s="8"/>
      <c r="B152" s="73"/>
      <c r="C152" s="69"/>
      <c r="D152" s="76">
        <v>65000.0</v>
      </c>
      <c r="E152" s="69" t="s">
        <v>122</v>
      </c>
      <c r="F152" s="69"/>
      <c r="G152" s="69"/>
      <c r="H152" s="69"/>
      <c r="I152" s="69"/>
      <c r="J152" s="69"/>
      <c r="K152" s="58">
        <f>D152</f>
        <v>65000</v>
      </c>
      <c r="L152" s="69"/>
      <c r="M152" s="57"/>
      <c r="N152" s="57"/>
    </row>
    <row r="153" ht="19.5" customHeight="1">
      <c r="A153" s="8"/>
      <c r="B153" s="73"/>
      <c r="C153" s="69"/>
      <c r="D153" s="76">
        <v>10000.0</v>
      </c>
      <c r="E153" s="69" t="s">
        <v>123</v>
      </c>
      <c r="F153" s="69"/>
      <c r="G153" s="69"/>
      <c r="H153" s="69"/>
      <c r="I153" s="69"/>
      <c r="J153" s="69"/>
      <c r="K153" s="57"/>
      <c r="L153" s="69"/>
      <c r="M153" s="58">
        <f t="shared" ref="M153:M154" si="28">D153</f>
        <v>10000</v>
      </c>
      <c r="N153" s="57"/>
    </row>
    <row r="154" ht="19.5" customHeight="1">
      <c r="A154" s="8"/>
      <c r="B154" s="73"/>
      <c r="C154" s="69"/>
      <c r="D154" s="76">
        <v>10141.0</v>
      </c>
      <c r="E154" s="69" t="s">
        <v>89</v>
      </c>
      <c r="F154" s="69"/>
      <c r="G154" s="69"/>
      <c r="H154" s="69"/>
      <c r="I154" s="69"/>
      <c r="J154" s="69"/>
      <c r="K154" s="57"/>
      <c r="L154" s="69"/>
      <c r="M154" s="58">
        <f t="shared" si="28"/>
        <v>10141</v>
      </c>
      <c r="N154" s="57"/>
    </row>
    <row r="155" ht="19.5" customHeight="1">
      <c r="A155" s="8"/>
      <c r="B155" s="73"/>
      <c r="C155" s="69"/>
      <c r="D155" s="76">
        <v>10000.0</v>
      </c>
      <c r="E155" s="69" t="s">
        <v>125</v>
      </c>
      <c r="F155" s="69"/>
      <c r="G155" s="69"/>
      <c r="H155" s="69"/>
      <c r="I155" s="69"/>
      <c r="J155" s="69"/>
      <c r="K155" s="58">
        <f>D155</f>
        <v>10000</v>
      </c>
      <c r="L155" s="69"/>
      <c r="M155" s="57"/>
      <c r="N155" s="57"/>
    </row>
    <row r="156" ht="19.5" customHeight="1">
      <c r="A156" s="8"/>
      <c r="B156" s="74"/>
      <c r="C156" s="75" t="s">
        <v>15</v>
      </c>
      <c r="D156" s="72">
        <v>249.0</v>
      </c>
      <c r="E156" s="61" t="s">
        <v>81</v>
      </c>
      <c r="F156" s="72"/>
      <c r="G156" s="72"/>
      <c r="H156" s="72"/>
      <c r="I156" s="72"/>
      <c r="J156" s="72"/>
      <c r="K156" s="57"/>
      <c r="L156" s="72"/>
      <c r="M156" s="57">
        <f t="shared" ref="M156:M158" si="29">D156</f>
        <v>249</v>
      </c>
      <c r="N156" s="57"/>
    </row>
    <row r="157" ht="19.5" customHeight="1">
      <c r="A157" s="8"/>
      <c r="B157" s="74"/>
      <c r="C157" s="75"/>
      <c r="D157" s="72">
        <v>832.0</v>
      </c>
      <c r="E157" s="60" t="s">
        <v>82</v>
      </c>
      <c r="F157" s="72"/>
      <c r="G157" s="72"/>
      <c r="H157" s="72"/>
      <c r="I157" s="72"/>
      <c r="J157" s="72"/>
      <c r="K157" s="57"/>
      <c r="L157" s="72"/>
      <c r="M157" s="57">
        <f t="shared" si="29"/>
        <v>832</v>
      </c>
      <c r="N157" s="57"/>
    </row>
    <row r="158" ht="19.5" customHeight="1">
      <c r="A158" s="8"/>
      <c r="B158" s="74"/>
      <c r="C158" s="75"/>
      <c r="D158" s="72">
        <v>134.8</v>
      </c>
      <c r="E158" s="61" t="s">
        <v>83</v>
      </c>
      <c r="F158" s="72"/>
      <c r="G158" s="72"/>
      <c r="H158" s="72"/>
      <c r="I158" s="72"/>
      <c r="J158" s="72"/>
      <c r="K158" s="57"/>
      <c r="L158" s="72"/>
      <c r="M158" s="57">
        <f t="shared" si="29"/>
        <v>134.8</v>
      </c>
      <c r="N158" s="57"/>
    </row>
    <row r="159" ht="19.5" customHeight="1">
      <c r="A159" s="8"/>
      <c r="B159" s="74"/>
      <c r="C159" s="75"/>
      <c r="D159" s="26">
        <v>343500.0</v>
      </c>
      <c r="E159" s="60" t="s">
        <v>84</v>
      </c>
      <c r="F159" s="72"/>
      <c r="G159" s="72"/>
      <c r="H159" s="72"/>
      <c r="I159" s="72"/>
      <c r="J159" s="72"/>
      <c r="K159" s="58">
        <f>D159</f>
        <v>343500</v>
      </c>
      <c r="L159" s="72"/>
      <c r="M159" s="57"/>
      <c r="N159" s="57"/>
    </row>
    <row r="160" ht="19.5" customHeight="1">
      <c r="A160" s="8"/>
      <c r="B160" s="74"/>
      <c r="C160" s="75"/>
      <c r="D160" s="26">
        <v>4000.0</v>
      </c>
      <c r="E160" s="72" t="s">
        <v>123</v>
      </c>
      <c r="F160" s="72"/>
      <c r="G160" s="72"/>
      <c r="H160" s="72"/>
      <c r="I160" s="72"/>
      <c r="J160" s="72"/>
      <c r="K160" s="57"/>
      <c r="L160" s="72"/>
      <c r="M160" s="58">
        <f t="shared" ref="M160:M162" si="30">D160</f>
        <v>4000</v>
      </c>
      <c r="N160" s="57"/>
    </row>
    <row r="161" ht="19.5" customHeight="1">
      <c r="A161" s="8"/>
      <c r="B161" s="74"/>
      <c r="C161" s="75"/>
      <c r="D161" s="26">
        <v>8896.0</v>
      </c>
      <c r="E161" s="72" t="s">
        <v>126</v>
      </c>
      <c r="F161" s="72"/>
      <c r="G161" s="72"/>
      <c r="H161" s="72"/>
      <c r="I161" s="72"/>
      <c r="J161" s="72"/>
      <c r="K161" s="57"/>
      <c r="L161" s="72"/>
      <c r="M161" s="58">
        <f t="shared" si="30"/>
        <v>8896</v>
      </c>
      <c r="N161" s="57"/>
    </row>
    <row r="162" ht="19.5" customHeight="1">
      <c r="A162" s="8"/>
      <c r="B162" s="74"/>
      <c r="C162" s="75"/>
      <c r="D162" s="26">
        <v>3397.0</v>
      </c>
      <c r="E162" s="72" t="s">
        <v>127</v>
      </c>
      <c r="F162" s="72"/>
      <c r="G162" s="72"/>
      <c r="H162" s="72"/>
      <c r="I162" s="72"/>
      <c r="J162" s="72"/>
      <c r="K162" s="57"/>
      <c r="L162" s="72"/>
      <c r="M162" s="58">
        <f t="shared" si="30"/>
        <v>3397</v>
      </c>
      <c r="N162" s="57"/>
    </row>
    <row r="163" ht="19.5" customHeight="1">
      <c r="A163" s="8"/>
      <c r="B163" s="74"/>
      <c r="C163" s="75"/>
      <c r="D163" s="26">
        <v>15000.0</v>
      </c>
      <c r="E163" s="72" t="s">
        <v>125</v>
      </c>
      <c r="F163" s="72"/>
      <c r="G163" s="72"/>
      <c r="H163" s="72"/>
      <c r="I163" s="72"/>
      <c r="J163" s="72"/>
      <c r="K163" s="58">
        <f>D163</f>
        <v>15000</v>
      </c>
      <c r="L163" s="72"/>
      <c r="M163" s="57"/>
      <c r="N163" s="57"/>
    </row>
    <row r="164" ht="19.5" customHeight="1">
      <c r="A164" s="8"/>
      <c r="B164" s="74"/>
      <c r="C164" s="75"/>
      <c r="D164" s="26">
        <v>30.0</v>
      </c>
      <c r="E164" s="72" t="s">
        <v>117</v>
      </c>
      <c r="F164" s="72"/>
      <c r="G164" s="72"/>
      <c r="H164" s="72"/>
      <c r="I164" s="72"/>
      <c r="J164" s="72"/>
      <c r="K164" s="57"/>
      <c r="L164" s="72"/>
      <c r="M164" s="58">
        <f t="shared" ref="M164:M169" si="31">D164</f>
        <v>30</v>
      </c>
      <c r="N164" s="57"/>
    </row>
    <row r="165" ht="19.5" customHeight="1">
      <c r="A165" s="8"/>
      <c r="B165" s="74"/>
      <c r="C165" s="75"/>
      <c r="D165" s="26">
        <v>4.5</v>
      </c>
      <c r="E165" s="72" t="s">
        <v>118</v>
      </c>
      <c r="F165" s="72"/>
      <c r="G165" s="72"/>
      <c r="H165" s="72"/>
      <c r="I165" s="72"/>
      <c r="J165" s="72"/>
      <c r="K165" s="57"/>
      <c r="L165" s="72"/>
      <c r="M165" s="58">
        <f t="shared" si="31"/>
        <v>4.5</v>
      </c>
      <c r="N165" s="57"/>
    </row>
    <row r="166" ht="19.5" customHeight="1">
      <c r="A166" s="8"/>
      <c r="B166" s="74"/>
      <c r="C166" s="75"/>
      <c r="D166" s="26">
        <v>50.0</v>
      </c>
      <c r="E166" s="72" t="s">
        <v>120</v>
      </c>
      <c r="F166" s="72"/>
      <c r="G166" s="72"/>
      <c r="H166" s="72"/>
      <c r="I166" s="72"/>
      <c r="J166" s="72"/>
      <c r="K166" s="57"/>
      <c r="L166" s="72"/>
      <c r="M166" s="58">
        <f t="shared" si="31"/>
        <v>50</v>
      </c>
      <c r="N166" s="57"/>
    </row>
    <row r="167" ht="19.5" customHeight="1">
      <c r="A167" s="8"/>
      <c r="B167" s="73"/>
      <c r="C167" s="80" t="s">
        <v>16</v>
      </c>
      <c r="D167" s="69">
        <v>240.0</v>
      </c>
      <c r="E167" s="61" t="s">
        <v>81</v>
      </c>
      <c r="F167" s="69"/>
      <c r="G167" s="69"/>
      <c r="H167" s="69"/>
      <c r="I167" s="69"/>
      <c r="J167" s="69"/>
      <c r="K167" s="57"/>
      <c r="L167" s="69"/>
      <c r="M167" s="57">
        <f t="shared" si="31"/>
        <v>240</v>
      </c>
      <c r="N167" s="57"/>
    </row>
    <row r="168" ht="19.5" customHeight="1">
      <c r="A168" s="8"/>
      <c r="B168" s="73"/>
      <c r="C168" s="80"/>
      <c r="D168" s="69">
        <v>748.0</v>
      </c>
      <c r="E168" s="60" t="s">
        <v>82</v>
      </c>
      <c r="F168" s="69"/>
      <c r="G168" s="69"/>
      <c r="H168" s="69"/>
      <c r="I168" s="69"/>
      <c r="J168" s="69"/>
      <c r="K168" s="57"/>
      <c r="L168" s="69"/>
      <c r="M168" s="57">
        <f t="shared" si="31"/>
        <v>748</v>
      </c>
      <c r="N168" s="57"/>
    </row>
    <row r="169" ht="19.5" customHeight="1">
      <c r="A169" s="8"/>
      <c r="B169" s="73"/>
      <c r="C169" s="80"/>
      <c r="D169" s="69">
        <v>117.2</v>
      </c>
      <c r="E169" s="61" t="s">
        <v>83</v>
      </c>
      <c r="F169" s="69"/>
      <c r="G169" s="69"/>
      <c r="H169" s="69"/>
      <c r="I169" s="69"/>
      <c r="J169" s="69"/>
      <c r="K169" s="57"/>
      <c r="L169" s="69"/>
      <c r="M169" s="57">
        <f t="shared" si="31"/>
        <v>117.2</v>
      </c>
      <c r="N169" s="57"/>
    </row>
    <row r="170" ht="19.5" customHeight="1">
      <c r="A170" s="8"/>
      <c r="B170" s="73"/>
      <c r="C170" s="80"/>
      <c r="D170" s="76">
        <v>297500.0</v>
      </c>
      <c r="E170" s="60" t="s">
        <v>84</v>
      </c>
      <c r="F170" s="69"/>
      <c r="G170" s="69"/>
      <c r="H170" s="69"/>
      <c r="I170" s="69"/>
      <c r="J170" s="69"/>
      <c r="K170" s="58">
        <f>D170</f>
        <v>297500</v>
      </c>
      <c r="L170" s="69"/>
      <c r="M170" s="57"/>
      <c r="N170" s="57"/>
    </row>
    <row r="171" ht="19.5" customHeight="1">
      <c r="A171" s="8"/>
      <c r="B171" s="73"/>
      <c r="C171" s="80"/>
      <c r="D171" s="69">
        <v>25.0</v>
      </c>
      <c r="E171" s="69" t="s">
        <v>120</v>
      </c>
      <c r="F171" s="69"/>
      <c r="G171" s="69"/>
      <c r="H171" s="69"/>
      <c r="I171" s="69"/>
      <c r="J171" s="69"/>
      <c r="K171" s="57"/>
      <c r="L171" s="69"/>
      <c r="M171" s="57">
        <f>D171</f>
        <v>25</v>
      </c>
      <c r="N171" s="57"/>
    </row>
    <row r="172" ht="19.5" customHeight="1">
      <c r="A172" s="8"/>
      <c r="B172" s="73"/>
      <c r="C172" s="80"/>
      <c r="D172" s="76">
        <v>20000.0</v>
      </c>
      <c r="E172" s="69" t="s">
        <v>122</v>
      </c>
      <c r="F172" s="69"/>
      <c r="G172" s="69"/>
      <c r="H172" s="69"/>
      <c r="I172" s="69"/>
      <c r="J172" s="69"/>
      <c r="K172" s="58">
        <f>D172</f>
        <v>20000</v>
      </c>
      <c r="L172" s="69"/>
      <c r="M172" s="57"/>
      <c r="N172" s="57"/>
    </row>
    <row r="173" ht="19.5" customHeight="1">
      <c r="A173" s="8"/>
      <c r="B173" s="73"/>
      <c r="C173" s="80"/>
      <c r="D173" s="69">
        <v>60.0</v>
      </c>
      <c r="E173" s="69" t="s">
        <v>117</v>
      </c>
      <c r="F173" s="69"/>
      <c r="G173" s="69"/>
      <c r="H173" s="69"/>
      <c r="I173" s="69"/>
      <c r="J173" s="69"/>
      <c r="K173" s="57"/>
      <c r="L173" s="69"/>
      <c r="M173" s="57">
        <f t="shared" ref="M173:M181" si="32">D173</f>
        <v>60</v>
      </c>
      <c r="N173" s="57"/>
    </row>
    <row r="174" ht="19.5" customHeight="1">
      <c r="A174" s="8"/>
      <c r="B174" s="73"/>
      <c r="C174" s="80"/>
      <c r="D174" s="69">
        <v>9.0</v>
      </c>
      <c r="E174" s="69" t="s">
        <v>118</v>
      </c>
      <c r="F174" s="69"/>
      <c r="G174" s="69"/>
      <c r="H174" s="69"/>
      <c r="I174" s="69"/>
      <c r="J174" s="69"/>
      <c r="K174" s="57"/>
      <c r="L174" s="69"/>
      <c r="M174" s="57">
        <f t="shared" si="32"/>
        <v>9</v>
      </c>
      <c r="N174" s="57"/>
    </row>
    <row r="175" ht="19.5" customHeight="1">
      <c r="A175" s="8"/>
      <c r="B175" s="73"/>
      <c r="C175" s="80"/>
      <c r="D175" s="69">
        <v>200.0</v>
      </c>
      <c r="E175" s="69" t="s">
        <v>128</v>
      </c>
      <c r="F175" s="69"/>
      <c r="G175" s="69"/>
      <c r="H175" s="69"/>
      <c r="I175" s="69"/>
      <c r="J175" s="69"/>
      <c r="K175" s="57"/>
      <c r="L175" s="69"/>
      <c r="M175" s="57">
        <f t="shared" si="32"/>
        <v>200</v>
      </c>
      <c r="N175" s="57"/>
    </row>
    <row r="176" ht="19.5" customHeight="1">
      <c r="A176" s="8"/>
      <c r="B176" s="73"/>
      <c r="C176" s="80"/>
      <c r="D176" s="69">
        <v>40.0</v>
      </c>
      <c r="E176" s="69" t="s">
        <v>129</v>
      </c>
      <c r="F176" s="69"/>
      <c r="G176" s="69"/>
      <c r="H176" s="69"/>
      <c r="I176" s="69"/>
      <c r="J176" s="69"/>
      <c r="K176" s="57"/>
      <c r="L176" s="69"/>
      <c r="M176" s="57">
        <f t="shared" si="32"/>
        <v>40</v>
      </c>
      <c r="N176" s="57"/>
    </row>
    <row r="177" ht="19.5" customHeight="1">
      <c r="A177" s="8"/>
      <c r="B177" s="73"/>
      <c r="C177" s="80"/>
      <c r="D177" s="76">
        <v>5000.0</v>
      </c>
      <c r="E177" s="69" t="s">
        <v>125</v>
      </c>
      <c r="F177" s="69"/>
      <c r="G177" s="69"/>
      <c r="H177" s="69"/>
      <c r="I177" s="69"/>
      <c r="J177" s="69"/>
      <c r="K177" s="57"/>
      <c r="L177" s="69"/>
      <c r="M177" s="58">
        <f t="shared" si="32"/>
        <v>5000</v>
      </c>
      <c r="N177" s="57"/>
    </row>
    <row r="178" ht="19.5" customHeight="1">
      <c r="A178" s="8"/>
      <c r="B178" s="74"/>
      <c r="C178" s="75" t="s">
        <v>17</v>
      </c>
      <c r="D178" s="72">
        <v>57.0</v>
      </c>
      <c r="E178" s="61" t="s">
        <v>81</v>
      </c>
      <c r="F178" s="75"/>
      <c r="G178" s="75"/>
      <c r="H178" s="75"/>
      <c r="I178" s="75"/>
      <c r="J178" s="75"/>
      <c r="K178" s="57"/>
      <c r="L178" s="75"/>
      <c r="M178" s="57">
        <f t="shared" si="32"/>
        <v>57</v>
      </c>
      <c r="N178" s="57"/>
    </row>
    <row r="179" ht="19.5" customHeight="1">
      <c r="A179" s="8"/>
      <c r="B179" s="74"/>
      <c r="C179" s="75"/>
      <c r="D179" s="72">
        <v>186.0</v>
      </c>
      <c r="E179" s="60" t="s">
        <v>82</v>
      </c>
      <c r="F179" s="75"/>
      <c r="G179" s="75"/>
      <c r="H179" s="75"/>
      <c r="I179" s="75"/>
      <c r="J179" s="75"/>
      <c r="K179" s="57"/>
      <c r="L179" s="75"/>
      <c r="M179" s="57">
        <f t="shared" si="32"/>
        <v>186</v>
      </c>
      <c r="N179" s="57"/>
    </row>
    <row r="180" ht="19.5" customHeight="1">
      <c r="A180" s="8"/>
      <c r="B180" s="74"/>
      <c r="C180" s="75"/>
      <c r="D180" s="72">
        <v>27.9</v>
      </c>
      <c r="E180" s="61" t="s">
        <v>83</v>
      </c>
      <c r="F180" s="75"/>
      <c r="G180" s="75"/>
      <c r="H180" s="75"/>
      <c r="I180" s="75"/>
      <c r="J180" s="75"/>
      <c r="K180" s="57"/>
      <c r="L180" s="75"/>
      <c r="M180" s="57">
        <f t="shared" si="32"/>
        <v>27.9</v>
      </c>
      <c r="N180" s="57"/>
    </row>
    <row r="181" ht="19.5" customHeight="1">
      <c r="A181" s="8"/>
      <c r="B181" s="74"/>
      <c r="C181" s="75"/>
      <c r="D181" s="26">
        <v>112000.0</v>
      </c>
      <c r="E181" s="60" t="s">
        <v>84</v>
      </c>
      <c r="F181" s="75"/>
      <c r="G181" s="75"/>
      <c r="H181" s="75"/>
      <c r="I181" s="75"/>
      <c r="J181" s="75"/>
      <c r="K181" s="57"/>
      <c r="L181" s="75"/>
      <c r="M181" s="58">
        <f t="shared" si="32"/>
        <v>112000</v>
      </c>
      <c r="N181" s="57"/>
    </row>
    <row r="182" ht="19.5" customHeight="1">
      <c r="A182" s="8"/>
      <c r="B182" s="74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57"/>
    </row>
    <row r="183" ht="19.5" customHeight="1">
      <c r="A183" s="8"/>
      <c r="B183" s="74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57"/>
    </row>
    <row r="184" ht="19.5" customHeight="1">
      <c r="A184" s="8"/>
      <c r="B184" s="73"/>
      <c r="C184" s="80" t="s">
        <v>18</v>
      </c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57"/>
    </row>
    <row r="185" ht="19.5" customHeight="1">
      <c r="A185" s="8"/>
      <c r="B185" s="74"/>
      <c r="C185" s="75" t="s">
        <v>19</v>
      </c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57"/>
    </row>
    <row r="186" ht="19.5" customHeight="1">
      <c r="A186" s="8"/>
      <c r="B186" s="73"/>
      <c r="C186" s="80" t="s">
        <v>20</v>
      </c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57"/>
    </row>
    <row r="187" ht="19.5" customHeight="1">
      <c r="A187" s="8"/>
      <c r="B187" s="74"/>
      <c r="C187" s="75" t="s">
        <v>21</v>
      </c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57"/>
    </row>
    <row r="188" ht="19.5" customHeight="1">
      <c r="A188" s="8"/>
      <c r="B188" s="73"/>
      <c r="C188" s="80" t="s">
        <v>22</v>
      </c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57"/>
    </row>
    <row r="189" ht="19.5" customHeight="1">
      <c r="A189" s="8"/>
      <c r="B189" s="74"/>
      <c r="C189" s="75" t="s">
        <v>23</v>
      </c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57"/>
    </row>
    <row r="190" ht="19.5" customHeight="1">
      <c r="A190" s="81"/>
      <c r="B190" s="77" t="s">
        <v>8</v>
      </c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</row>
    <row r="191" ht="19.5" customHeight="1">
      <c r="A191" s="81"/>
      <c r="B191" s="83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57"/>
    </row>
    <row r="192" ht="19.5" customHeight="1">
      <c r="A192" s="81"/>
      <c r="B192" s="83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57"/>
    </row>
    <row r="193" ht="19.5" customHeight="1">
      <c r="A193" s="8"/>
      <c r="B193" s="84" t="s">
        <v>130</v>
      </c>
      <c r="C193" s="80" t="s">
        <v>12</v>
      </c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57"/>
    </row>
    <row r="194" ht="19.5" customHeight="1">
      <c r="A194" s="8"/>
      <c r="B194" s="74"/>
      <c r="C194" s="75" t="s">
        <v>13</v>
      </c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57"/>
    </row>
    <row r="195" ht="19.5" customHeight="1">
      <c r="A195" s="8"/>
      <c r="B195" s="73"/>
      <c r="C195" s="69" t="s">
        <v>14</v>
      </c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57"/>
    </row>
    <row r="196" ht="19.5" customHeight="1">
      <c r="A196" s="8"/>
      <c r="B196" s="74"/>
      <c r="C196" s="75" t="s">
        <v>15</v>
      </c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57"/>
    </row>
    <row r="197" ht="19.5" customHeight="1">
      <c r="A197" s="8"/>
      <c r="B197" s="73"/>
      <c r="C197" s="80" t="s">
        <v>16</v>
      </c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57"/>
    </row>
    <row r="198" ht="19.5" customHeight="1">
      <c r="A198" s="8"/>
      <c r="B198" s="74"/>
      <c r="C198" s="75" t="s">
        <v>17</v>
      </c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57"/>
    </row>
    <row r="199" ht="19.5" customHeight="1">
      <c r="A199" s="8"/>
      <c r="B199" s="73"/>
      <c r="C199" s="80" t="s">
        <v>18</v>
      </c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57"/>
    </row>
    <row r="200" ht="19.5" customHeight="1">
      <c r="A200" s="8"/>
      <c r="B200" s="74"/>
      <c r="C200" s="75" t="s">
        <v>19</v>
      </c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57"/>
    </row>
    <row r="201" ht="19.5" customHeight="1">
      <c r="A201" s="8"/>
      <c r="B201" s="73"/>
      <c r="C201" s="80" t="s">
        <v>20</v>
      </c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57"/>
    </row>
    <row r="202" ht="19.5" customHeight="1">
      <c r="A202" s="8"/>
      <c r="B202" s="74"/>
      <c r="C202" s="75" t="s">
        <v>21</v>
      </c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57"/>
    </row>
    <row r="203" ht="19.5" customHeight="1">
      <c r="A203" s="8"/>
      <c r="B203" s="73"/>
      <c r="C203" s="80" t="s">
        <v>22</v>
      </c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57"/>
    </row>
    <row r="204" ht="19.5" customHeight="1">
      <c r="A204" s="8"/>
      <c r="B204" s="74"/>
      <c r="C204" s="75" t="s">
        <v>23</v>
      </c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57"/>
    </row>
    <row r="205" ht="19.5" customHeight="1">
      <c r="A205" s="8"/>
      <c r="B205" s="85" t="s">
        <v>8</v>
      </c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</row>
    <row r="206" ht="19.5" customHeight="1">
      <c r="A206" s="8"/>
      <c r="B206" s="8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</row>
    <row r="207" ht="19.5" customHeight="1">
      <c r="A207" s="8"/>
      <c r="B207" s="8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</row>
    <row r="208" ht="19.5" customHeight="1">
      <c r="A208" s="8"/>
      <c r="B208" s="19" t="s">
        <v>11</v>
      </c>
      <c r="C208" s="20" t="s">
        <v>12</v>
      </c>
      <c r="D208" s="86"/>
      <c r="E208" s="31"/>
      <c r="F208" s="86"/>
      <c r="G208" s="86"/>
      <c r="H208" s="86"/>
      <c r="I208" s="86"/>
      <c r="J208" s="86"/>
      <c r="K208" s="86"/>
      <c r="L208" s="86"/>
      <c r="M208" s="86"/>
      <c r="N208" s="87"/>
    </row>
    <row r="209" ht="19.5" customHeight="1">
      <c r="A209" s="8"/>
      <c r="B209" s="22"/>
      <c r="C209" s="23" t="s">
        <v>13</v>
      </c>
      <c r="D209" s="39"/>
      <c r="E209" s="59"/>
      <c r="F209" s="39"/>
      <c r="G209" s="39"/>
      <c r="H209" s="39"/>
      <c r="I209" s="39"/>
      <c r="J209" s="39"/>
      <c r="K209" s="39"/>
      <c r="L209" s="39"/>
      <c r="M209" s="39"/>
      <c r="N209" s="88"/>
    </row>
    <row r="210" ht="19.5" customHeight="1">
      <c r="A210" s="8"/>
      <c r="B210" s="25"/>
      <c r="C210" s="20" t="s">
        <v>14</v>
      </c>
      <c r="D210" s="41">
        <v>900098.0</v>
      </c>
      <c r="E210" s="31" t="s">
        <v>131</v>
      </c>
      <c r="F210" s="86"/>
      <c r="G210" s="86"/>
      <c r="H210" s="86"/>
      <c r="I210" s="86"/>
      <c r="J210" s="86"/>
      <c r="K210" s="86"/>
      <c r="L210" s="86"/>
      <c r="M210" s="86">
        <f t="shared" ref="M210:M217" si="33">D210</f>
        <v>900098</v>
      </c>
      <c r="N210" s="87"/>
    </row>
    <row r="211" ht="19.5" customHeight="1">
      <c r="A211" s="8"/>
      <c r="B211" s="25"/>
      <c r="C211" s="20"/>
      <c r="D211" s="41">
        <v>4859.0</v>
      </c>
      <c r="E211" s="59" t="s">
        <v>132</v>
      </c>
      <c r="F211" s="86"/>
      <c r="G211" s="86"/>
      <c r="H211" s="86"/>
      <c r="I211" s="86"/>
      <c r="J211" s="86"/>
      <c r="K211" s="86"/>
      <c r="L211" s="86"/>
      <c r="M211" s="86">
        <f t="shared" si="33"/>
        <v>4859</v>
      </c>
      <c r="N211" s="87"/>
    </row>
    <row r="212" ht="19.5" customHeight="1">
      <c r="A212" s="8"/>
      <c r="B212" s="25"/>
      <c r="C212" s="20"/>
      <c r="D212" s="41">
        <v>1542.0</v>
      </c>
      <c r="E212" s="21" t="s">
        <v>133</v>
      </c>
      <c r="F212" s="86"/>
      <c r="G212" s="86"/>
      <c r="H212" s="86"/>
      <c r="I212" s="86"/>
      <c r="J212" s="86"/>
      <c r="K212" s="86"/>
      <c r="L212" s="86"/>
      <c r="M212" s="86">
        <f t="shared" si="33"/>
        <v>1542</v>
      </c>
      <c r="N212" s="87"/>
    </row>
    <row r="213" ht="19.5" customHeight="1">
      <c r="A213" s="8"/>
      <c r="B213" s="25"/>
      <c r="C213" s="20"/>
      <c r="D213" s="41">
        <v>3200.0</v>
      </c>
      <c r="E213" s="21" t="s">
        <v>134</v>
      </c>
      <c r="F213" s="86"/>
      <c r="G213" s="86"/>
      <c r="H213" s="86"/>
      <c r="I213" s="86"/>
      <c r="J213" s="86"/>
      <c r="K213" s="86"/>
      <c r="L213" s="86"/>
      <c r="M213" s="86">
        <f t="shared" si="33"/>
        <v>3200</v>
      </c>
      <c r="N213" s="87"/>
    </row>
    <row r="214" ht="19.5" customHeight="1">
      <c r="A214" s="8"/>
      <c r="B214" s="25"/>
      <c r="C214" s="20"/>
      <c r="D214" s="41">
        <v>47622.0</v>
      </c>
      <c r="E214" s="21" t="s">
        <v>135</v>
      </c>
      <c r="F214" s="86"/>
      <c r="G214" s="86"/>
      <c r="H214" s="86"/>
      <c r="I214" s="86"/>
      <c r="J214" s="86"/>
      <c r="K214" s="86"/>
      <c r="L214" s="86"/>
      <c r="M214" s="86">
        <f t="shared" si="33"/>
        <v>47622</v>
      </c>
      <c r="N214" s="87"/>
    </row>
    <row r="215" ht="19.5" customHeight="1">
      <c r="A215" s="8"/>
      <c r="B215" s="25"/>
      <c r="C215" s="20"/>
      <c r="D215" s="41">
        <v>50022.0</v>
      </c>
      <c r="E215" s="21" t="s">
        <v>136</v>
      </c>
      <c r="F215" s="86"/>
      <c r="G215" s="86"/>
      <c r="H215" s="86"/>
      <c r="I215" s="86"/>
      <c r="J215" s="86"/>
      <c r="K215" s="86"/>
      <c r="L215" s="86"/>
      <c r="M215" s="86">
        <f t="shared" si="33"/>
        <v>50022</v>
      </c>
      <c r="N215" s="87"/>
    </row>
    <row r="216" ht="19.5" customHeight="1">
      <c r="A216" s="8"/>
      <c r="B216" s="25"/>
      <c r="C216" s="20"/>
      <c r="D216" s="41">
        <v>35700.0</v>
      </c>
      <c r="E216" s="21" t="s">
        <v>137</v>
      </c>
      <c r="F216" s="86"/>
      <c r="G216" s="86"/>
      <c r="H216" s="86"/>
      <c r="I216" s="86"/>
      <c r="J216" s="86"/>
      <c r="K216" s="86"/>
      <c r="L216" s="86"/>
      <c r="M216" s="86">
        <f t="shared" si="33"/>
        <v>35700</v>
      </c>
      <c r="N216" s="87"/>
    </row>
    <row r="217" ht="19.5" customHeight="1">
      <c r="A217" s="8"/>
      <c r="B217" s="25"/>
      <c r="C217" s="20"/>
      <c r="D217" s="41">
        <v>33640.0</v>
      </c>
      <c r="E217" s="21" t="s">
        <v>138</v>
      </c>
      <c r="F217" s="86"/>
      <c r="G217" s="86"/>
      <c r="H217" s="86"/>
      <c r="I217" s="86"/>
      <c r="J217" s="86"/>
      <c r="K217" s="86"/>
      <c r="L217" s="86"/>
      <c r="M217" s="86">
        <f t="shared" si="33"/>
        <v>33640</v>
      </c>
      <c r="N217" s="87"/>
    </row>
    <row r="218" ht="19.5" customHeight="1">
      <c r="A218" s="8"/>
      <c r="B218" s="25"/>
      <c r="C218" s="20"/>
      <c r="D218" s="41">
        <v>5600.0</v>
      </c>
      <c r="E218" s="21" t="s">
        <v>139</v>
      </c>
      <c r="F218" s="86"/>
      <c r="G218" s="86"/>
      <c r="H218" s="86">
        <f>D218</f>
        <v>5600</v>
      </c>
      <c r="I218" s="86"/>
      <c r="J218" s="86"/>
      <c r="K218" s="86"/>
      <c r="L218" s="86"/>
      <c r="N218" s="87"/>
    </row>
    <row r="219" ht="19.5" customHeight="1">
      <c r="A219" s="8"/>
      <c r="B219" s="25"/>
      <c r="C219" s="20"/>
      <c r="D219" s="41">
        <v>6000.0</v>
      </c>
      <c r="E219" s="21" t="s">
        <v>32</v>
      </c>
      <c r="F219" s="86"/>
      <c r="G219" s="86"/>
      <c r="H219" s="86"/>
      <c r="I219" s="86">
        <f>D219</f>
        <v>6000</v>
      </c>
      <c r="J219" s="86"/>
      <c r="K219" s="86"/>
      <c r="L219" s="86"/>
      <c r="N219" s="87"/>
    </row>
    <row r="220" ht="19.5" customHeight="1">
      <c r="A220" s="8"/>
      <c r="B220" s="25"/>
      <c r="C220" s="20"/>
      <c r="D220" s="41">
        <v>10000.0</v>
      </c>
      <c r="E220" s="21" t="s">
        <v>140</v>
      </c>
      <c r="F220" s="86"/>
      <c r="G220" s="86"/>
      <c r="H220" s="86"/>
      <c r="I220" s="86"/>
      <c r="J220" s="86"/>
      <c r="K220" s="86"/>
      <c r="L220" s="86"/>
      <c r="M220" s="86">
        <f t="shared" ref="M220:M222" si="34">D220</f>
        <v>10000</v>
      </c>
      <c r="N220" s="87"/>
    </row>
    <row r="221" ht="19.5" customHeight="1">
      <c r="A221" s="8"/>
      <c r="B221" s="25"/>
      <c r="C221" s="20"/>
      <c r="D221" s="41">
        <v>40000.0</v>
      </c>
      <c r="E221" s="21" t="s">
        <v>141</v>
      </c>
      <c r="F221" s="86"/>
      <c r="G221" s="86"/>
      <c r="H221" s="86"/>
      <c r="I221" s="86"/>
      <c r="J221" s="86"/>
      <c r="K221" s="86"/>
      <c r="L221" s="86"/>
      <c r="M221" s="86">
        <f t="shared" si="34"/>
        <v>40000</v>
      </c>
      <c r="N221" s="87"/>
    </row>
    <row r="222" ht="19.5" customHeight="1">
      <c r="A222" s="8"/>
      <c r="B222" s="22"/>
      <c r="C222" s="23"/>
      <c r="D222" s="43">
        <v>7400.0</v>
      </c>
      <c r="E222" s="24" t="s">
        <v>142</v>
      </c>
      <c r="F222" s="39"/>
      <c r="G222" s="39"/>
      <c r="H222" s="39"/>
      <c r="I222" s="39"/>
      <c r="J222" s="39"/>
      <c r="K222" s="39"/>
      <c r="L222" s="39"/>
      <c r="M222" s="86">
        <f t="shared" si="34"/>
        <v>7400</v>
      </c>
      <c r="N222" s="88"/>
    </row>
    <row r="223" ht="19.5" customHeight="1">
      <c r="A223" s="8"/>
      <c r="B223" s="22"/>
      <c r="C223" s="23"/>
      <c r="D223" s="43">
        <v>10000.0</v>
      </c>
      <c r="E223" s="24" t="s">
        <v>33</v>
      </c>
      <c r="F223" s="39"/>
      <c r="G223" s="39"/>
      <c r="H223" s="39"/>
      <c r="I223" s="86">
        <f t="shared" ref="I223:I225" si="35">D223</f>
        <v>10000</v>
      </c>
      <c r="J223" s="39"/>
      <c r="K223" s="39"/>
      <c r="L223" s="39"/>
      <c r="N223" s="88"/>
    </row>
    <row r="224" ht="19.5" customHeight="1">
      <c r="A224" s="8"/>
      <c r="B224" s="22"/>
      <c r="C224" s="23"/>
      <c r="D224" s="43">
        <v>5000.0</v>
      </c>
      <c r="E224" s="24" t="s">
        <v>34</v>
      </c>
      <c r="F224" s="39"/>
      <c r="G224" s="39"/>
      <c r="H224" s="39"/>
      <c r="I224" s="86">
        <f t="shared" si="35"/>
        <v>5000</v>
      </c>
      <c r="J224" s="39"/>
      <c r="K224" s="39"/>
      <c r="L224" s="39"/>
      <c r="M224" s="86"/>
      <c r="N224" s="88"/>
    </row>
    <row r="225" ht="19.5" customHeight="1">
      <c r="A225" s="8"/>
      <c r="B225" s="22"/>
      <c r="C225" s="23"/>
      <c r="D225" s="43">
        <v>5000.0</v>
      </c>
      <c r="E225" s="24" t="s">
        <v>35</v>
      </c>
      <c r="F225" s="39"/>
      <c r="G225" s="39"/>
      <c r="H225" s="39"/>
      <c r="I225" s="86">
        <f t="shared" si="35"/>
        <v>5000</v>
      </c>
      <c r="J225" s="39"/>
      <c r="K225" s="39"/>
      <c r="L225" s="39"/>
      <c r="M225" s="86"/>
      <c r="N225" s="88"/>
    </row>
    <row r="226" ht="19.5" customHeight="1">
      <c r="A226" s="8"/>
      <c r="B226" s="22"/>
      <c r="C226" s="23"/>
      <c r="D226" s="43">
        <v>50000.0</v>
      </c>
      <c r="E226" s="24" t="s">
        <v>143</v>
      </c>
      <c r="F226" s="39"/>
      <c r="G226" s="39"/>
      <c r="H226" s="39"/>
      <c r="I226" s="39"/>
      <c r="J226" s="39"/>
      <c r="K226" s="39"/>
      <c r="L226" s="39"/>
      <c r="M226" s="86">
        <f>D226</f>
        <v>50000</v>
      </c>
      <c r="N226" s="88"/>
    </row>
    <row r="227" ht="19.5" customHeight="1">
      <c r="A227" s="8"/>
      <c r="B227" s="22"/>
      <c r="C227" s="23"/>
      <c r="D227" s="43">
        <v>30200.0</v>
      </c>
      <c r="E227" s="24" t="s">
        <v>144</v>
      </c>
      <c r="F227" s="39"/>
      <c r="G227" s="39"/>
      <c r="H227" s="86">
        <f t="shared" ref="H227:H229" si="36">D227</f>
        <v>30200</v>
      </c>
      <c r="I227" s="39"/>
      <c r="J227" s="39"/>
      <c r="K227" s="39"/>
      <c r="L227" s="39"/>
      <c r="N227" s="88"/>
    </row>
    <row r="228" ht="19.5" customHeight="1">
      <c r="A228" s="8"/>
      <c r="B228" s="22"/>
      <c r="C228" s="23"/>
      <c r="D228" s="43">
        <v>24000.0</v>
      </c>
      <c r="E228" s="24" t="s">
        <v>145</v>
      </c>
      <c r="F228" s="39"/>
      <c r="G228" s="39"/>
      <c r="H228" s="86">
        <f t="shared" si="36"/>
        <v>24000</v>
      </c>
      <c r="I228" s="39"/>
      <c r="J228" s="39"/>
      <c r="K228" s="39"/>
      <c r="L228" s="39"/>
      <c r="M228" s="86"/>
      <c r="N228" s="88"/>
    </row>
    <row r="229" ht="19.5" customHeight="1">
      <c r="A229" s="8"/>
      <c r="B229" s="22"/>
      <c r="C229" s="23"/>
      <c r="D229" s="43">
        <v>13000.0</v>
      </c>
      <c r="E229" s="24" t="s">
        <v>146</v>
      </c>
      <c r="F229" s="39"/>
      <c r="G229" s="39"/>
      <c r="H229" s="86">
        <f t="shared" si="36"/>
        <v>13000</v>
      </c>
      <c r="I229" s="39"/>
      <c r="J229" s="39"/>
      <c r="K229" s="39"/>
      <c r="L229" s="39"/>
      <c r="M229" s="86"/>
      <c r="N229" s="88"/>
    </row>
    <row r="230" ht="19.5" customHeight="1">
      <c r="A230" s="8"/>
      <c r="B230" s="22"/>
      <c r="C230" s="23"/>
      <c r="D230" s="43">
        <v>6060.0</v>
      </c>
      <c r="E230" s="24" t="s">
        <v>147</v>
      </c>
      <c r="F230" s="39"/>
      <c r="G230" s="39"/>
      <c r="H230" s="39"/>
      <c r="I230" s="39"/>
      <c r="J230" s="39"/>
      <c r="K230" s="39"/>
      <c r="L230" s="39"/>
      <c r="M230" s="86">
        <f>D230</f>
        <v>6060</v>
      </c>
      <c r="N230" s="88"/>
    </row>
    <row r="231" ht="19.5" customHeight="1">
      <c r="A231" s="8"/>
      <c r="B231" s="22"/>
      <c r="C231" s="23"/>
      <c r="D231" s="43">
        <v>5000.0</v>
      </c>
      <c r="E231" s="24" t="s">
        <v>36</v>
      </c>
      <c r="F231" s="39"/>
      <c r="G231" s="39"/>
      <c r="H231" s="39"/>
      <c r="I231" s="86">
        <f>D231</f>
        <v>5000</v>
      </c>
      <c r="J231" s="39"/>
      <c r="K231" s="39"/>
      <c r="L231" s="39"/>
      <c r="N231" s="88"/>
    </row>
    <row r="232" ht="19.5" customHeight="1">
      <c r="A232" s="8"/>
      <c r="B232" s="22"/>
      <c r="C232" s="23"/>
      <c r="D232" s="43">
        <v>9000.0</v>
      </c>
      <c r="E232" s="24" t="s">
        <v>148</v>
      </c>
      <c r="F232" s="39"/>
      <c r="G232" s="39"/>
      <c r="H232" s="39"/>
      <c r="I232" s="39"/>
      <c r="J232" s="39"/>
      <c r="K232" s="39"/>
      <c r="L232" s="39"/>
      <c r="M232" s="86">
        <f>D232</f>
        <v>9000</v>
      </c>
      <c r="N232" s="88"/>
    </row>
    <row r="233" ht="19.5" customHeight="1">
      <c r="A233" s="8"/>
      <c r="B233" s="22"/>
      <c r="C233" s="23"/>
      <c r="D233" s="43">
        <v>1200.0</v>
      </c>
      <c r="E233" s="21" t="s">
        <v>149</v>
      </c>
      <c r="F233" s="39"/>
      <c r="G233" s="39"/>
      <c r="H233" s="86">
        <f>D233</f>
        <v>1200</v>
      </c>
      <c r="I233" s="39"/>
      <c r="J233" s="39"/>
      <c r="K233" s="39"/>
      <c r="L233" s="39"/>
      <c r="N233" s="88"/>
    </row>
    <row r="234" ht="19.5" customHeight="1">
      <c r="A234" s="8"/>
      <c r="B234" s="22"/>
      <c r="C234" s="23"/>
      <c r="D234" s="43">
        <v>5000.0</v>
      </c>
      <c r="E234" s="21" t="s">
        <v>37</v>
      </c>
      <c r="F234" s="39"/>
      <c r="G234" s="39"/>
      <c r="H234" s="39"/>
      <c r="I234" s="86">
        <f t="shared" ref="I234:I235" si="37">D234</f>
        <v>5000</v>
      </c>
      <c r="J234" s="39"/>
      <c r="K234" s="39"/>
      <c r="L234" s="39"/>
      <c r="N234" s="88"/>
    </row>
    <row r="235" ht="19.5" customHeight="1">
      <c r="A235" s="8"/>
      <c r="B235" s="22"/>
      <c r="C235" s="23"/>
      <c r="D235" s="43">
        <v>5000.0</v>
      </c>
      <c r="E235" s="21" t="s">
        <v>38</v>
      </c>
      <c r="F235" s="39"/>
      <c r="G235" s="39"/>
      <c r="H235" s="39"/>
      <c r="I235" s="86">
        <f t="shared" si="37"/>
        <v>5000</v>
      </c>
      <c r="J235" s="39"/>
      <c r="K235" s="39"/>
      <c r="L235" s="39"/>
      <c r="M235" s="86"/>
      <c r="N235" s="88"/>
    </row>
    <row r="236" ht="19.5" customHeight="1">
      <c r="A236" s="8"/>
      <c r="B236" s="22"/>
      <c r="C236" s="23"/>
      <c r="D236" s="43">
        <v>1000.0</v>
      </c>
      <c r="E236" s="21" t="s">
        <v>150</v>
      </c>
      <c r="F236" s="39"/>
      <c r="G236" s="39"/>
      <c r="H236" s="39"/>
      <c r="I236" s="39"/>
      <c r="J236" s="39"/>
      <c r="K236" s="39"/>
      <c r="L236" s="39"/>
      <c r="M236" s="86">
        <f>D236</f>
        <v>1000</v>
      </c>
      <c r="N236" s="88"/>
    </row>
    <row r="237" ht="19.5" customHeight="1">
      <c r="A237" s="8"/>
      <c r="B237" s="22"/>
      <c r="C237" s="23"/>
      <c r="D237" s="43">
        <v>21200.0</v>
      </c>
      <c r="E237" s="21" t="s">
        <v>151</v>
      </c>
      <c r="F237" s="86">
        <f>D237</f>
        <v>21200</v>
      </c>
      <c r="G237" s="39"/>
      <c r="H237" s="39"/>
      <c r="I237" s="39"/>
      <c r="J237" s="39"/>
      <c r="K237" s="39"/>
      <c r="L237" s="39"/>
      <c r="N237" s="88"/>
    </row>
    <row r="238" ht="19.5" customHeight="1">
      <c r="A238" s="8"/>
      <c r="B238" s="22"/>
      <c r="C238" s="23"/>
      <c r="D238" s="43">
        <v>10000.0</v>
      </c>
      <c r="E238" s="21" t="s">
        <v>152</v>
      </c>
      <c r="F238" s="39"/>
      <c r="G238" s="39"/>
      <c r="H238" s="39"/>
      <c r="I238" s="39"/>
      <c r="J238" s="39"/>
      <c r="K238" s="39"/>
      <c r="L238" s="39"/>
      <c r="M238" s="86">
        <f t="shared" ref="M238:M247" si="38">D238</f>
        <v>10000</v>
      </c>
      <c r="N238" s="88"/>
    </row>
    <row r="239" ht="19.5" customHeight="1">
      <c r="A239" s="8"/>
      <c r="B239" s="22"/>
      <c r="C239" s="23"/>
      <c r="D239" s="43">
        <v>2000.0</v>
      </c>
      <c r="E239" s="21" t="s">
        <v>150</v>
      </c>
      <c r="F239" s="39"/>
      <c r="G239" s="39"/>
      <c r="H239" s="39"/>
      <c r="I239" s="39"/>
      <c r="J239" s="39"/>
      <c r="K239" s="39"/>
      <c r="L239" s="39"/>
      <c r="M239" s="86">
        <f t="shared" si="38"/>
        <v>2000</v>
      </c>
      <c r="N239" s="88"/>
    </row>
    <row r="240" ht="19.5" customHeight="1">
      <c r="A240" s="8"/>
      <c r="B240" s="22"/>
      <c r="C240" s="23" t="s">
        <v>15</v>
      </c>
      <c r="D240" s="26">
        <v>615434.0</v>
      </c>
      <c r="E240" s="31" t="s">
        <v>131</v>
      </c>
      <c r="F240" s="39"/>
      <c r="G240" s="39"/>
      <c r="H240" s="39"/>
      <c r="I240" s="39"/>
      <c r="J240" s="39"/>
      <c r="K240" s="39"/>
      <c r="L240" s="39"/>
      <c r="M240" s="86">
        <f t="shared" si="38"/>
        <v>615434</v>
      </c>
      <c r="N240" s="88"/>
    </row>
    <row r="241" ht="19.5" customHeight="1">
      <c r="A241" s="8"/>
      <c r="B241" s="22"/>
      <c r="C241" s="23"/>
      <c r="D241" s="26">
        <v>4528.0</v>
      </c>
      <c r="E241" s="59" t="s">
        <v>132</v>
      </c>
      <c r="F241" s="39"/>
      <c r="G241" s="39"/>
      <c r="H241" s="39"/>
      <c r="I241" s="39"/>
      <c r="J241" s="39"/>
      <c r="K241" s="39"/>
      <c r="L241" s="39"/>
      <c r="M241" s="86">
        <f t="shared" si="38"/>
        <v>4528</v>
      </c>
      <c r="N241" s="88"/>
    </row>
    <row r="242" ht="19.5" customHeight="1">
      <c r="A242" s="8"/>
      <c r="B242" s="22"/>
      <c r="C242" s="23"/>
      <c r="D242" s="26">
        <v>1260.5</v>
      </c>
      <c r="E242" s="21" t="s">
        <v>133</v>
      </c>
      <c r="F242" s="39"/>
      <c r="G242" s="39"/>
      <c r="H242" s="39"/>
      <c r="I242" s="39"/>
      <c r="J242" s="39"/>
      <c r="K242" s="39"/>
      <c r="L242" s="39"/>
      <c r="M242" s="86">
        <f t="shared" si="38"/>
        <v>1260.5</v>
      </c>
      <c r="N242" s="88"/>
    </row>
    <row r="243" ht="19.5" customHeight="1">
      <c r="A243" s="8"/>
      <c r="B243" s="22"/>
      <c r="C243" s="23"/>
      <c r="D243" s="26">
        <v>14620.0</v>
      </c>
      <c r="E243" s="24" t="s">
        <v>153</v>
      </c>
      <c r="F243" s="39"/>
      <c r="G243" s="39"/>
      <c r="H243" s="39"/>
      <c r="I243" s="39"/>
      <c r="J243" s="39"/>
      <c r="K243" s="39"/>
      <c r="L243" s="39"/>
      <c r="M243" s="86">
        <f t="shared" si="38"/>
        <v>14620</v>
      </c>
      <c r="N243" s="88"/>
    </row>
    <row r="244" ht="19.5" customHeight="1">
      <c r="A244" s="8"/>
      <c r="B244" s="22"/>
      <c r="C244" s="23"/>
      <c r="D244" s="26">
        <v>4100.0</v>
      </c>
      <c r="E244" s="24" t="s">
        <v>154</v>
      </c>
      <c r="F244" s="39"/>
      <c r="G244" s="39"/>
      <c r="H244" s="39"/>
      <c r="I244" s="39"/>
      <c r="J244" s="39"/>
      <c r="K244" s="39"/>
      <c r="L244" s="39"/>
      <c r="M244" s="86">
        <f t="shared" si="38"/>
        <v>4100</v>
      </c>
      <c r="N244" s="88"/>
    </row>
    <row r="245" ht="19.5" customHeight="1">
      <c r="A245" s="8"/>
      <c r="B245" s="22"/>
      <c r="C245" s="23"/>
      <c r="D245" s="26">
        <v>13000.0</v>
      </c>
      <c r="E245" s="24" t="s">
        <v>138</v>
      </c>
      <c r="F245" s="39"/>
      <c r="G245" s="39"/>
      <c r="H245" s="39"/>
      <c r="I245" s="39"/>
      <c r="J245" s="39"/>
      <c r="K245" s="39"/>
      <c r="L245" s="39"/>
      <c r="M245" s="86">
        <f t="shared" si="38"/>
        <v>13000</v>
      </c>
      <c r="N245" s="88"/>
    </row>
    <row r="246" ht="19.5" customHeight="1">
      <c r="A246" s="8"/>
      <c r="B246" s="22"/>
      <c r="C246" s="23"/>
      <c r="D246" s="26">
        <v>25000.0</v>
      </c>
      <c r="E246" s="24" t="s">
        <v>155</v>
      </c>
      <c r="F246" s="39"/>
      <c r="G246" s="39"/>
      <c r="H246" s="39"/>
      <c r="I246" s="39"/>
      <c r="J246" s="39"/>
      <c r="K246" s="39"/>
      <c r="L246" s="39"/>
      <c r="M246" s="86">
        <f t="shared" si="38"/>
        <v>25000</v>
      </c>
      <c r="N246" s="88"/>
    </row>
    <row r="247" ht="19.5" customHeight="1">
      <c r="A247" s="8"/>
      <c r="B247" s="22"/>
      <c r="C247" s="23"/>
      <c r="D247" s="26">
        <v>12250.0</v>
      </c>
      <c r="E247" s="24" t="s">
        <v>156</v>
      </c>
      <c r="F247" s="39"/>
      <c r="G247" s="39"/>
      <c r="H247" s="39"/>
      <c r="I247" s="39"/>
      <c r="J247" s="39"/>
      <c r="K247" s="39"/>
      <c r="L247" s="39"/>
      <c r="M247" s="86">
        <f t="shared" si="38"/>
        <v>12250</v>
      </c>
      <c r="N247" s="88"/>
    </row>
    <row r="248" ht="19.5" customHeight="1">
      <c r="A248" s="8"/>
      <c r="B248" s="22"/>
      <c r="C248" s="23"/>
      <c r="D248" s="26">
        <v>6000.0</v>
      </c>
      <c r="E248" s="24" t="s">
        <v>32</v>
      </c>
      <c r="F248" s="39"/>
      <c r="G248" s="39"/>
      <c r="H248" s="39"/>
      <c r="I248" s="86">
        <f>D248</f>
        <v>6000</v>
      </c>
      <c r="J248" s="39"/>
      <c r="K248" s="39"/>
      <c r="L248" s="39"/>
      <c r="N248" s="88"/>
    </row>
    <row r="249" ht="19.5" customHeight="1">
      <c r="A249" s="8"/>
      <c r="B249" s="22"/>
      <c r="C249" s="23"/>
      <c r="D249" s="26">
        <v>2390.0</v>
      </c>
      <c r="E249" s="24" t="s">
        <v>157</v>
      </c>
      <c r="F249" s="39"/>
      <c r="G249" s="39"/>
      <c r="H249" s="39"/>
      <c r="I249" s="39"/>
      <c r="J249" s="39"/>
      <c r="K249" s="39"/>
      <c r="L249" s="39"/>
      <c r="M249" s="86">
        <f>D249</f>
        <v>2390</v>
      </c>
      <c r="N249" s="88"/>
    </row>
    <row r="250" ht="19.5" customHeight="1">
      <c r="A250" s="8"/>
      <c r="B250" s="22"/>
      <c r="C250" s="23"/>
      <c r="D250" s="26">
        <v>5000.0</v>
      </c>
      <c r="E250" s="24" t="s">
        <v>39</v>
      </c>
      <c r="F250" s="39"/>
      <c r="G250" s="39"/>
      <c r="H250" s="39"/>
      <c r="I250" s="86">
        <f>D250</f>
        <v>5000</v>
      </c>
      <c r="J250" s="39"/>
      <c r="K250" s="39"/>
      <c r="L250" s="39"/>
      <c r="N250" s="88"/>
    </row>
    <row r="251" ht="19.5" customHeight="1">
      <c r="A251" s="8"/>
      <c r="B251" s="22"/>
      <c r="C251" s="23"/>
      <c r="D251" s="26">
        <v>8240.0</v>
      </c>
      <c r="E251" s="24" t="s">
        <v>158</v>
      </c>
      <c r="F251" s="86">
        <f>D251</f>
        <v>8240</v>
      </c>
      <c r="G251" s="39"/>
      <c r="H251" s="39"/>
      <c r="I251" s="39"/>
      <c r="J251" s="39"/>
      <c r="K251" s="39"/>
      <c r="L251" s="39"/>
      <c r="N251" s="88"/>
    </row>
    <row r="252" ht="19.5" customHeight="1">
      <c r="A252" s="8"/>
      <c r="B252" s="22"/>
      <c r="C252" s="23"/>
      <c r="D252" s="26">
        <v>5900.0</v>
      </c>
      <c r="E252" s="24" t="s">
        <v>139</v>
      </c>
      <c r="F252" s="39"/>
      <c r="G252" s="39"/>
      <c r="H252" s="86">
        <f>D252</f>
        <v>5900</v>
      </c>
      <c r="I252" s="39"/>
      <c r="J252" s="39"/>
      <c r="K252" s="39"/>
      <c r="L252" s="39"/>
      <c r="N252" s="88"/>
    </row>
    <row r="253" ht="19.5" customHeight="1">
      <c r="A253" s="8"/>
      <c r="B253" s="22"/>
      <c r="C253" s="23"/>
      <c r="D253" s="26">
        <v>8675.0</v>
      </c>
      <c r="E253" s="24" t="s">
        <v>159</v>
      </c>
      <c r="F253" s="39"/>
      <c r="G253" s="39"/>
      <c r="H253" s="39"/>
      <c r="I253" s="39"/>
      <c r="J253" s="39"/>
      <c r="K253" s="39"/>
      <c r="L253" s="39"/>
      <c r="M253" s="86">
        <f>D253</f>
        <v>8675</v>
      </c>
      <c r="N253" s="88"/>
    </row>
    <row r="254" ht="19.5" customHeight="1">
      <c r="A254" s="8"/>
      <c r="B254" s="22"/>
      <c r="C254" s="23"/>
      <c r="D254" s="26">
        <v>26000.0</v>
      </c>
      <c r="E254" s="24" t="s">
        <v>144</v>
      </c>
      <c r="F254" s="39"/>
      <c r="G254" s="39"/>
      <c r="H254" s="86">
        <f t="shared" ref="H254:H255" si="39">D254</f>
        <v>26000</v>
      </c>
      <c r="I254" s="39"/>
      <c r="J254" s="39"/>
      <c r="K254" s="39"/>
      <c r="L254" s="39"/>
      <c r="N254" s="88"/>
    </row>
    <row r="255" ht="19.5" customHeight="1">
      <c r="A255" s="8"/>
      <c r="B255" s="22"/>
      <c r="C255" s="23"/>
      <c r="D255" s="26">
        <v>21000.0</v>
      </c>
      <c r="E255" s="24" t="s">
        <v>145</v>
      </c>
      <c r="F255" s="39"/>
      <c r="G255" s="39"/>
      <c r="H255" s="86">
        <f t="shared" si="39"/>
        <v>21000</v>
      </c>
      <c r="I255" s="39"/>
      <c r="J255" s="39"/>
      <c r="K255" s="39"/>
      <c r="L255" s="39"/>
      <c r="N255" s="88"/>
    </row>
    <row r="256" ht="19.5" customHeight="1">
      <c r="A256" s="8"/>
      <c r="B256" s="22"/>
      <c r="C256" s="23"/>
      <c r="D256" s="26">
        <v>13350.0</v>
      </c>
      <c r="E256" s="24" t="s">
        <v>160</v>
      </c>
      <c r="F256" s="39"/>
      <c r="G256" s="39"/>
      <c r="H256" s="39"/>
      <c r="I256" s="39"/>
      <c r="J256" s="39"/>
      <c r="K256" s="39"/>
      <c r="L256" s="39"/>
      <c r="M256" s="86">
        <f t="shared" ref="M256:M258" si="40">D256</f>
        <v>13350</v>
      </c>
      <c r="N256" s="88"/>
    </row>
    <row r="257" ht="19.5" customHeight="1">
      <c r="A257" s="8"/>
      <c r="B257" s="22"/>
      <c r="C257" s="23"/>
      <c r="D257" s="26">
        <v>6750.0</v>
      </c>
      <c r="E257" s="24" t="s">
        <v>161</v>
      </c>
      <c r="F257" s="39"/>
      <c r="G257" s="39"/>
      <c r="H257" s="39"/>
      <c r="I257" s="39"/>
      <c r="J257" s="39"/>
      <c r="K257" s="39"/>
      <c r="L257" s="39"/>
      <c r="M257" s="86">
        <f t="shared" si="40"/>
        <v>6750</v>
      </c>
      <c r="N257" s="88"/>
    </row>
    <row r="258" ht="19.5" customHeight="1">
      <c r="A258" s="8"/>
      <c r="B258" s="22"/>
      <c r="C258" s="23"/>
      <c r="D258" s="26">
        <v>31000.0</v>
      </c>
      <c r="E258" s="24" t="s">
        <v>141</v>
      </c>
      <c r="F258" s="39"/>
      <c r="G258" s="39"/>
      <c r="H258" s="39"/>
      <c r="I258" s="39"/>
      <c r="J258" s="39"/>
      <c r="K258" s="39"/>
      <c r="L258" s="39"/>
      <c r="M258" s="86">
        <f t="shared" si="40"/>
        <v>31000</v>
      </c>
      <c r="N258" s="88"/>
    </row>
    <row r="259" ht="19.5" customHeight="1">
      <c r="A259" s="8"/>
      <c r="B259" s="22"/>
      <c r="C259" s="23"/>
      <c r="D259" s="26">
        <v>4800.0</v>
      </c>
      <c r="E259" s="24" t="s">
        <v>149</v>
      </c>
      <c r="F259" s="39"/>
      <c r="G259" s="39"/>
      <c r="H259" s="86">
        <f>D259</f>
        <v>4800</v>
      </c>
      <c r="I259" s="39"/>
      <c r="J259" s="39"/>
      <c r="K259" s="39"/>
      <c r="L259" s="39"/>
      <c r="N259" s="88"/>
    </row>
    <row r="260" ht="19.5" customHeight="1">
      <c r="A260" s="8"/>
      <c r="B260" s="22"/>
      <c r="C260" s="23"/>
      <c r="D260" s="26">
        <v>60000.0</v>
      </c>
      <c r="E260" s="24" t="s">
        <v>162</v>
      </c>
      <c r="F260" s="39"/>
      <c r="G260" s="39"/>
      <c r="H260" s="39"/>
      <c r="I260" s="39"/>
      <c r="J260" s="39"/>
      <c r="K260" s="39"/>
      <c r="L260" s="39"/>
      <c r="M260" s="86">
        <f t="shared" ref="M260:M261" si="41">D260</f>
        <v>60000</v>
      </c>
      <c r="N260" s="88"/>
    </row>
    <row r="261" ht="19.5" customHeight="1">
      <c r="A261" s="8"/>
      <c r="B261" s="22"/>
      <c r="C261" s="23"/>
      <c r="D261" s="26">
        <v>13550.0</v>
      </c>
      <c r="E261" s="24" t="s">
        <v>163</v>
      </c>
      <c r="F261" s="39"/>
      <c r="G261" s="39"/>
      <c r="H261" s="39"/>
      <c r="I261" s="39"/>
      <c r="J261" s="39"/>
      <c r="K261" s="39"/>
      <c r="L261" s="39"/>
      <c r="M261" s="86">
        <f t="shared" si="41"/>
        <v>13550</v>
      </c>
      <c r="N261" s="88"/>
    </row>
    <row r="262" ht="19.5" customHeight="1">
      <c r="A262" s="8"/>
      <c r="B262" s="22"/>
      <c r="C262" s="23"/>
      <c r="D262" s="26">
        <v>3000.0</v>
      </c>
      <c r="E262" s="24" t="s">
        <v>33</v>
      </c>
      <c r="F262" s="39"/>
      <c r="G262" s="39"/>
      <c r="H262" s="39"/>
      <c r="I262" s="86">
        <f t="shared" ref="I262:I265" si="42">D262</f>
        <v>3000</v>
      </c>
      <c r="J262" s="39"/>
      <c r="K262" s="39"/>
      <c r="L262" s="39"/>
      <c r="N262" s="88"/>
    </row>
    <row r="263" ht="19.5" customHeight="1">
      <c r="A263" s="8"/>
      <c r="B263" s="22"/>
      <c r="C263" s="23"/>
      <c r="D263" s="26">
        <v>3000.0</v>
      </c>
      <c r="E263" s="24" t="s">
        <v>34</v>
      </c>
      <c r="F263" s="39"/>
      <c r="G263" s="39"/>
      <c r="H263" s="39"/>
      <c r="I263" s="86">
        <f t="shared" si="42"/>
        <v>3000</v>
      </c>
      <c r="J263" s="39"/>
      <c r="K263" s="39"/>
      <c r="L263" s="39"/>
      <c r="M263" s="86"/>
      <c r="N263" s="88"/>
    </row>
    <row r="264" ht="19.5" customHeight="1">
      <c r="A264" s="8"/>
      <c r="B264" s="22"/>
      <c r="C264" s="23"/>
      <c r="D264" s="26">
        <v>5000.0</v>
      </c>
      <c r="E264" s="24" t="s">
        <v>40</v>
      </c>
      <c r="F264" s="39"/>
      <c r="G264" s="39"/>
      <c r="H264" s="39"/>
      <c r="I264" s="86">
        <f t="shared" si="42"/>
        <v>5000</v>
      </c>
      <c r="J264" s="39"/>
      <c r="K264" s="39"/>
      <c r="L264" s="39"/>
      <c r="M264" s="86"/>
      <c r="N264" s="88"/>
    </row>
    <row r="265" ht="19.5" customHeight="1">
      <c r="A265" s="8"/>
      <c r="B265" s="22"/>
      <c r="C265" s="23"/>
      <c r="D265" s="26">
        <v>5000.0</v>
      </c>
      <c r="E265" s="24" t="s">
        <v>36</v>
      </c>
      <c r="F265" s="39"/>
      <c r="G265" s="39"/>
      <c r="H265" s="39"/>
      <c r="I265" s="86">
        <f t="shared" si="42"/>
        <v>5000</v>
      </c>
      <c r="J265" s="39"/>
      <c r="K265" s="39"/>
      <c r="L265" s="39"/>
      <c r="M265" s="86"/>
      <c r="N265" s="88"/>
    </row>
    <row r="266" ht="19.5" customHeight="1">
      <c r="A266" s="8"/>
      <c r="B266" s="22"/>
      <c r="C266" s="23"/>
      <c r="D266" s="26">
        <v>15000.0</v>
      </c>
      <c r="E266" s="24" t="s">
        <v>164</v>
      </c>
      <c r="F266" s="39"/>
      <c r="G266" s="39"/>
      <c r="H266" s="39"/>
      <c r="I266" s="39"/>
      <c r="J266" s="39"/>
      <c r="K266" s="39"/>
      <c r="L266" s="39"/>
      <c r="M266" s="86">
        <f>D266</f>
        <v>15000</v>
      </c>
      <c r="N266" s="88"/>
    </row>
    <row r="267" ht="19.5" customHeight="1">
      <c r="A267" s="8"/>
      <c r="B267" s="22"/>
      <c r="C267" s="23"/>
      <c r="D267" s="26">
        <v>5760.0</v>
      </c>
      <c r="E267" s="24" t="s">
        <v>165</v>
      </c>
      <c r="F267" s="39"/>
      <c r="G267" s="39"/>
      <c r="H267" s="39"/>
      <c r="I267" s="39"/>
      <c r="J267" s="86">
        <f>D267</f>
        <v>5760</v>
      </c>
      <c r="K267" s="39"/>
      <c r="L267" s="39"/>
      <c r="N267" s="88"/>
    </row>
    <row r="268" ht="19.5" customHeight="1">
      <c r="A268" s="8"/>
      <c r="B268" s="22"/>
      <c r="C268" s="23"/>
      <c r="D268" s="26">
        <v>4000.0</v>
      </c>
      <c r="E268" s="24" t="s">
        <v>41</v>
      </c>
      <c r="F268" s="39"/>
      <c r="G268" s="39"/>
      <c r="H268" s="39"/>
      <c r="I268" s="86">
        <f>D268</f>
        <v>4000</v>
      </c>
      <c r="J268" s="39"/>
      <c r="K268" s="39"/>
      <c r="L268" s="39"/>
      <c r="N268" s="88"/>
    </row>
    <row r="269" ht="19.5" customHeight="1">
      <c r="A269" s="8"/>
      <c r="B269" s="25"/>
      <c r="C269" s="20" t="s">
        <v>16</v>
      </c>
      <c r="D269" s="26">
        <v>691904.0</v>
      </c>
      <c r="E269" s="31" t="s">
        <v>131</v>
      </c>
      <c r="F269" s="86"/>
      <c r="G269" s="86"/>
      <c r="H269" s="86"/>
      <c r="I269" s="86"/>
      <c r="J269" s="86"/>
      <c r="K269" s="86"/>
      <c r="L269" s="86"/>
      <c r="M269" s="86">
        <f t="shared" ref="M269:M272" si="43">D269</f>
        <v>691904</v>
      </c>
      <c r="N269" s="87"/>
    </row>
    <row r="270" ht="19.5" customHeight="1">
      <c r="A270" s="8"/>
      <c r="B270" s="25"/>
      <c r="C270" s="20"/>
      <c r="D270" s="26">
        <v>5079.0</v>
      </c>
      <c r="E270" s="59" t="s">
        <v>132</v>
      </c>
      <c r="F270" s="86"/>
      <c r="G270" s="86"/>
      <c r="H270" s="86"/>
      <c r="I270" s="86"/>
      <c r="J270" s="86"/>
      <c r="K270" s="86"/>
      <c r="L270" s="86"/>
      <c r="M270" s="86">
        <f t="shared" si="43"/>
        <v>5079</v>
      </c>
      <c r="N270" s="87"/>
    </row>
    <row r="271" ht="19.5" customHeight="1">
      <c r="A271" s="8"/>
      <c r="B271" s="25"/>
      <c r="C271" s="20"/>
      <c r="D271" s="26">
        <v>24250.0</v>
      </c>
      <c r="E271" s="21" t="s">
        <v>138</v>
      </c>
      <c r="F271" s="86"/>
      <c r="G271" s="86"/>
      <c r="H271" s="86"/>
      <c r="I271" s="86"/>
      <c r="J271" s="86"/>
      <c r="K271" s="86"/>
      <c r="L271" s="86"/>
      <c r="M271" s="86">
        <f t="shared" si="43"/>
        <v>24250</v>
      </c>
      <c r="N271" s="87"/>
    </row>
    <row r="272" ht="19.5" customHeight="1">
      <c r="A272" s="8"/>
      <c r="B272" s="25"/>
      <c r="C272" s="20"/>
      <c r="D272" s="26">
        <v>1060.0</v>
      </c>
      <c r="E272" s="21" t="s">
        <v>166</v>
      </c>
      <c r="F272" s="86"/>
      <c r="G272" s="86"/>
      <c r="H272" s="86"/>
      <c r="I272" s="86"/>
      <c r="J272" s="86"/>
      <c r="K272" s="86"/>
      <c r="L272" s="86"/>
      <c r="M272" s="86">
        <f t="shared" si="43"/>
        <v>1060</v>
      </c>
      <c r="N272" s="87"/>
    </row>
    <row r="273" ht="19.5" customHeight="1">
      <c r="A273" s="8"/>
      <c r="B273" s="25"/>
      <c r="C273" s="20"/>
      <c r="D273" s="26">
        <v>1300.0</v>
      </c>
      <c r="E273" s="21" t="s">
        <v>149</v>
      </c>
      <c r="F273" s="86"/>
      <c r="G273" s="86"/>
      <c r="H273" s="86">
        <f>D273</f>
        <v>1300</v>
      </c>
      <c r="I273" s="86"/>
      <c r="J273" s="86"/>
      <c r="K273" s="86"/>
      <c r="L273" s="86"/>
      <c r="N273" s="87"/>
    </row>
    <row r="274" ht="19.5" customHeight="1">
      <c r="A274" s="8"/>
      <c r="B274" s="25"/>
      <c r="C274" s="20"/>
      <c r="D274" s="26">
        <v>20305.0</v>
      </c>
      <c r="E274" s="21" t="s">
        <v>167</v>
      </c>
      <c r="F274" s="86"/>
      <c r="G274" s="86"/>
      <c r="H274" s="86"/>
      <c r="I274" s="86"/>
      <c r="J274" s="86"/>
      <c r="K274" s="86"/>
      <c r="L274" s="86"/>
      <c r="M274" s="86">
        <f t="shared" ref="M274:M277" si="44">D274</f>
        <v>20305</v>
      </c>
      <c r="N274" s="87"/>
    </row>
    <row r="275" ht="19.5" customHeight="1">
      <c r="A275" s="8"/>
      <c r="B275" s="25"/>
      <c r="C275" s="20"/>
      <c r="D275" s="26">
        <v>3100.0</v>
      </c>
      <c r="E275" s="21" t="s">
        <v>154</v>
      </c>
      <c r="F275" s="86"/>
      <c r="G275" s="86"/>
      <c r="H275" s="86"/>
      <c r="I275" s="86"/>
      <c r="J275" s="86"/>
      <c r="K275" s="86"/>
      <c r="L275" s="86"/>
      <c r="M275" s="86">
        <f t="shared" si="44"/>
        <v>3100</v>
      </c>
      <c r="N275" s="87"/>
    </row>
    <row r="276" ht="19.5" customHeight="1">
      <c r="A276" s="8"/>
      <c r="B276" s="25"/>
      <c r="C276" s="20"/>
      <c r="D276" s="26">
        <v>13500.0</v>
      </c>
      <c r="E276" s="21" t="s">
        <v>136</v>
      </c>
      <c r="F276" s="86"/>
      <c r="G276" s="86"/>
      <c r="H276" s="86"/>
      <c r="I276" s="86"/>
      <c r="J276" s="86"/>
      <c r="K276" s="86"/>
      <c r="L276" s="86"/>
      <c r="M276" s="86">
        <f t="shared" si="44"/>
        <v>13500</v>
      </c>
      <c r="N276" s="87"/>
    </row>
    <row r="277" ht="19.5" customHeight="1">
      <c r="A277" s="8"/>
      <c r="B277" s="25"/>
      <c r="C277" s="20"/>
      <c r="D277" s="26">
        <v>14500.0</v>
      </c>
      <c r="E277" s="21" t="s">
        <v>141</v>
      </c>
      <c r="F277" s="86"/>
      <c r="G277" s="86"/>
      <c r="H277" s="86"/>
      <c r="I277" s="86"/>
      <c r="J277" s="86"/>
      <c r="K277" s="86"/>
      <c r="L277" s="86"/>
      <c r="M277" s="86">
        <f t="shared" si="44"/>
        <v>14500</v>
      </c>
      <c r="N277" s="87"/>
    </row>
    <row r="278" ht="19.5" customHeight="1">
      <c r="A278" s="8"/>
      <c r="B278" s="25"/>
      <c r="C278" s="20"/>
      <c r="D278" s="26">
        <v>3600.0</v>
      </c>
      <c r="E278" s="21" t="s">
        <v>168</v>
      </c>
      <c r="F278" s="86"/>
      <c r="G278" s="86"/>
      <c r="H278" s="86">
        <f t="shared" ref="H278:H279" si="45">D278</f>
        <v>3600</v>
      </c>
      <c r="I278" s="86"/>
      <c r="J278" s="86"/>
      <c r="K278" s="86"/>
      <c r="L278" s="86"/>
      <c r="N278" s="87"/>
    </row>
    <row r="279" ht="19.5" customHeight="1">
      <c r="A279" s="8"/>
      <c r="B279" s="25"/>
      <c r="C279" s="20"/>
      <c r="D279" s="26">
        <v>27000.0</v>
      </c>
      <c r="E279" s="21" t="s">
        <v>169</v>
      </c>
      <c r="F279" s="86"/>
      <c r="G279" s="86"/>
      <c r="H279" s="86">
        <f t="shared" si="45"/>
        <v>27000</v>
      </c>
      <c r="I279" s="86"/>
      <c r="J279" s="86"/>
      <c r="K279" s="86"/>
      <c r="L279" s="86"/>
      <c r="M279" s="86"/>
      <c r="N279" s="87"/>
    </row>
    <row r="280" ht="19.5" customHeight="1">
      <c r="A280" s="8"/>
      <c r="B280" s="25"/>
      <c r="C280" s="20"/>
      <c r="D280" s="26">
        <v>610.0</v>
      </c>
      <c r="E280" s="21" t="s">
        <v>133</v>
      </c>
      <c r="F280" s="86"/>
      <c r="G280" s="86"/>
      <c r="H280" s="86"/>
      <c r="I280" s="86"/>
      <c r="J280" s="86"/>
      <c r="K280" s="86"/>
      <c r="L280" s="86"/>
      <c r="M280" s="86">
        <f t="shared" ref="M280:M281" si="46">D280</f>
        <v>610</v>
      </c>
      <c r="N280" s="87"/>
    </row>
    <row r="281" ht="19.5" customHeight="1">
      <c r="A281" s="8"/>
      <c r="B281" s="25"/>
      <c r="C281" s="20"/>
      <c r="D281" s="26">
        <v>12054.0</v>
      </c>
      <c r="E281" s="21" t="s">
        <v>170</v>
      </c>
      <c r="F281" s="86"/>
      <c r="G281" s="86"/>
      <c r="H281" s="86"/>
      <c r="I281" s="86"/>
      <c r="J281" s="86"/>
      <c r="K281" s="86"/>
      <c r="L281" s="86"/>
      <c r="M281" s="86">
        <f t="shared" si="46"/>
        <v>12054</v>
      </c>
      <c r="N281" s="87"/>
    </row>
    <row r="282" ht="19.5" customHeight="1">
      <c r="A282" s="8"/>
      <c r="B282" s="25"/>
      <c r="C282" s="20"/>
      <c r="D282" s="26">
        <v>8800.0</v>
      </c>
      <c r="E282" s="21" t="s">
        <v>171</v>
      </c>
      <c r="F282" s="86">
        <f>D282</f>
        <v>8800</v>
      </c>
      <c r="G282" s="86"/>
      <c r="H282" s="86"/>
      <c r="I282" s="86"/>
      <c r="J282" s="86"/>
      <c r="K282" s="86"/>
      <c r="L282" s="86"/>
      <c r="N282" s="87"/>
    </row>
    <row r="283" ht="19.5" customHeight="1">
      <c r="A283" s="8"/>
      <c r="B283" s="25"/>
      <c r="C283" s="20"/>
      <c r="D283" s="26">
        <v>22000.0</v>
      </c>
      <c r="E283" s="21" t="s">
        <v>145</v>
      </c>
      <c r="F283" s="86"/>
      <c r="H283" s="86">
        <f>D283</f>
        <v>22000</v>
      </c>
      <c r="I283" s="86"/>
      <c r="J283" s="86"/>
      <c r="K283" s="86"/>
      <c r="L283" s="86"/>
      <c r="N283" s="87"/>
    </row>
    <row r="284" ht="19.5" customHeight="1">
      <c r="A284" s="8"/>
      <c r="B284" s="25"/>
      <c r="C284" s="20"/>
      <c r="D284" s="26">
        <v>3000.0</v>
      </c>
      <c r="E284" s="21" t="s">
        <v>32</v>
      </c>
      <c r="F284" s="86"/>
      <c r="G284" s="86"/>
      <c r="H284" s="86"/>
      <c r="I284" s="86">
        <f>D284</f>
        <v>3000</v>
      </c>
      <c r="J284" s="86"/>
      <c r="K284" s="86"/>
      <c r="L284" s="86"/>
      <c r="N284" s="87"/>
    </row>
    <row r="285" ht="19.5" customHeight="1">
      <c r="A285" s="8"/>
      <c r="B285" s="25"/>
      <c r="C285" s="20"/>
      <c r="D285" s="26">
        <v>5835.0</v>
      </c>
      <c r="E285" s="21" t="s">
        <v>157</v>
      </c>
      <c r="F285" s="86"/>
      <c r="G285" s="86"/>
      <c r="H285" s="86"/>
      <c r="I285" s="86"/>
      <c r="J285" s="86"/>
      <c r="K285" s="86"/>
      <c r="L285" s="86"/>
      <c r="M285" s="86">
        <f>D285</f>
        <v>5835</v>
      </c>
      <c r="N285" s="87"/>
    </row>
    <row r="286" ht="19.5" customHeight="1">
      <c r="A286" s="8"/>
      <c r="B286" s="25"/>
      <c r="C286" s="20"/>
      <c r="D286" s="26">
        <v>17000.0</v>
      </c>
      <c r="E286" s="21" t="s">
        <v>172</v>
      </c>
      <c r="F286" s="86"/>
      <c r="G286" s="86"/>
      <c r="H286" s="86">
        <f>D286</f>
        <v>17000</v>
      </c>
      <c r="I286" s="86"/>
      <c r="J286" s="86"/>
      <c r="K286" s="86"/>
      <c r="L286" s="86"/>
      <c r="N286" s="87"/>
    </row>
    <row r="287" ht="19.5" customHeight="1">
      <c r="A287" s="8"/>
      <c r="B287" s="25"/>
      <c r="C287" s="20"/>
      <c r="D287" s="26">
        <v>5000.0</v>
      </c>
      <c r="E287" s="21" t="s">
        <v>42</v>
      </c>
      <c r="F287" s="86"/>
      <c r="G287" s="86"/>
      <c r="H287" s="86"/>
      <c r="I287" s="86">
        <f t="shared" ref="I287:I289" si="47">D287</f>
        <v>5000</v>
      </c>
      <c r="J287" s="86"/>
      <c r="K287" s="86"/>
      <c r="L287" s="86"/>
      <c r="N287" s="87"/>
    </row>
    <row r="288" ht="19.5" customHeight="1">
      <c r="A288" s="8"/>
      <c r="B288" s="25"/>
      <c r="C288" s="20"/>
      <c r="D288" s="26">
        <v>4000.0</v>
      </c>
      <c r="E288" s="21" t="s">
        <v>34</v>
      </c>
      <c r="F288" s="86"/>
      <c r="G288" s="86"/>
      <c r="H288" s="86"/>
      <c r="I288" s="86">
        <f t="shared" si="47"/>
        <v>4000</v>
      </c>
      <c r="J288" s="86"/>
      <c r="K288" s="86"/>
      <c r="L288" s="86"/>
      <c r="M288" s="86"/>
      <c r="N288" s="87"/>
    </row>
    <row r="289" ht="19.5" customHeight="1">
      <c r="A289" s="8"/>
      <c r="B289" s="25"/>
      <c r="C289" s="20"/>
      <c r="D289" s="26">
        <v>4000.0</v>
      </c>
      <c r="E289" s="21" t="s">
        <v>33</v>
      </c>
      <c r="F289" s="86"/>
      <c r="G289" s="86"/>
      <c r="H289" s="86"/>
      <c r="I289" s="86">
        <f t="shared" si="47"/>
        <v>4000</v>
      </c>
      <c r="J289" s="86"/>
      <c r="K289" s="86"/>
      <c r="L289" s="86"/>
      <c r="M289" s="86"/>
      <c r="N289" s="87"/>
    </row>
    <row r="290" ht="19.5" customHeight="1">
      <c r="A290" s="8"/>
      <c r="B290" s="25"/>
      <c r="C290" s="20"/>
      <c r="D290" s="26">
        <v>16600.0</v>
      </c>
      <c r="E290" s="21" t="s">
        <v>163</v>
      </c>
      <c r="F290" s="86"/>
      <c r="G290" s="86"/>
      <c r="H290" s="86"/>
      <c r="I290" s="86"/>
      <c r="J290" s="86"/>
      <c r="K290" s="86"/>
      <c r="L290" s="86"/>
      <c r="M290" s="86">
        <f t="shared" ref="M290:M291" si="48">D290</f>
        <v>16600</v>
      </c>
      <c r="N290" s="87"/>
    </row>
    <row r="291" ht="19.5" customHeight="1">
      <c r="A291" s="8"/>
      <c r="B291" s="25"/>
      <c r="C291" s="20"/>
      <c r="D291" s="26">
        <v>33610.0</v>
      </c>
      <c r="E291" s="21" t="s">
        <v>160</v>
      </c>
      <c r="F291" s="86"/>
      <c r="G291" s="86"/>
      <c r="H291" s="86"/>
      <c r="I291" s="86"/>
      <c r="J291" s="86"/>
      <c r="K291" s="86"/>
      <c r="L291" s="86"/>
      <c r="M291" s="86">
        <f t="shared" si="48"/>
        <v>33610</v>
      </c>
      <c r="N291" s="87"/>
    </row>
    <row r="292" ht="19.5" customHeight="1">
      <c r="A292" s="8"/>
      <c r="B292" s="25"/>
      <c r="C292" s="20"/>
      <c r="D292" s="26">
        <v>4000.0</v>
      </c>
      <c r="E292" s="21" t="s">
        <v>41</v>
      </c>
      <c r="F292" s="86"/>
      <c r="G292" s="86"/>
      <c r="H292" s="86"/>
      <c r="I292" s="86">
        <f>D292</f>
        <v>4000</v>
      </c>
      <c r="J292" s="86"/>
      <c r="K292" s="86"/>
      <c r="L292" s="86"/>
      <c r="N292" s="87"/>
    </row>
    <row r="293" ht="19.5" customHeight="1">
      <c r="A293" s="8"/>
      <c r="B293" s="25"/>
      <c r="C293" s="20"/>
      <c r="D293" s="26">
        <v>5000.0</v>
      </c>
      <c r="E293" s="21" t="s">
        <v>36</v>
      </c>
      <c r="F293" s="86"/>
      <c r="G293" s="86"/>
      <c r="H293" s="86"/>
      <c r="I293" s="41">
        <v>5000.0</v>
      </c>
      <c r="J293" s="86"/>
      <c r="K293" s="86"/>
      <c r="L293" s="86"/>
      <c r="M293" s="86"/>
      <c r="N293" s="87"/>
    </row>
    <row r="294" ht="19.5" customHeight="1">
      <c r="A294" s="8"/>
      <c r="B294" s="22"/>
      <c r="C294" s="23" t="s">
        <v>17</v>
      </c>
      <c r="D294" s="26">
        <v>211259.0</v>
      </c>
      <c r="E294" s="24" t="s">
        <v>131</v>
      </c>
      <c r="F294" s="79"/>
      <c r="G294" s="79"/>
      <c r="H294" s="79"/>
      <c r="I294" s="79"/>
      <c r="J294" s="79"/>
      <c r="K294" s="79"/>
      <c r="L294" s="79"/>
      <c r="M294" s="86">
        <f>D294</f>
        <v>211259</v>
      </c>
      <c r="N294" s="89"/>
    </row>
    <row r="295" ht="19.5" customHeight="1">
      <c r="A295" s="8"/>
      <c r="B295" s="22"/>
      <c r="C295" s="23"/>
      <c r="D295" s="26"/>
      <c r="E295" s="24" t="s">
        <v>173</v>
      </c>
      <c r="F295" s="79"/>
      <c r="G295" s="79"/>
      <c r="H295" s="79"/>
      <c r="I295" s="79"/>
      <c r="J295" s="79"/>
      <c r="K295" s="79"/>
      <c r="L295" s="79"/>
      <c r="M295" s="86"/>
      <c r="N295" s="89"/>
    </row>
    <row r="296" ht="19.5" customHeight="1">
      <c r="A296" s="8"/>
      <c r="B296" s="22"/>
      <c r="C296" s="23"/>
      <c r="D296" s="26">
        <v>3697.0</v>
      </c>
      <c r="E296" s="24" t="s">
        <v>132</v>
      </c>
      <c r="F296" s="79"/>
      <c r="G296" s="79"/>
      <c r="H296" s="79"/>
      <c r="I296" s="79"/>
      <c r="J296" s="79"/>
      <c r="K296" s="79"/>
      <c r="L296" s="79"/>
      <c r="M296" s="86">
        <f t="shared" ref="M296:M297" si="49">D296</f>
        <v>3697</v>
      </c>
      <c r="N296" s="89"/>
    </row>
    <row r="297" ht="19.5" customHeight="1">
      <c r="A297" s="8"/>
      <c r="B297" s="22"/>
      <c r="C297" s="23"/>
      <c r="D297" s="26">
        <v>8000.0</v>
      </c>
      <c r="E297" s="24" t="s">
        <v>138</v>
      </c>
      <c r="F297" s="79"/>
      <c r="G297" s="79"/>
      <c r="H297" s="79"/>
      <c r="I297" s="79"/>
      <c r="J297" s="79"/>
      <c r="K297" s="79"/>
      <c r="L297" s="79"/>
      <c r="M297" s="86">
        <f t="shared" si="49"/>
        <v>8000</v>
      </c>
      <c r="N297" s="89"/>
    </row>
    <row r="298" ht="19.5" customHeight="1">
      <c r="A298" s="8"/>
      <c r="B298" s="22"/>
      <c r="C298" s="23"/>
      <c r="D298" s="26">
        <v>2100.0</v>
      </c>
      <c r="E298" s="24" t="s">
        <v>168</v>
      </c>
      <c r="F298" s="79"/>
      <c r="G298" s="79"/>
      <c r="H298" s="86">
        <f>D298</f>
        <v>2100</v>
      </c>
      <c r="I298" s="79"/>
      <c r="J298" s="79"/>
      <c r="K298" s="79"/>
      <c r="L298" s="79"/>
      <c r="N298" s="89"/>
    </row>
    <row r="299" ht="19.5" customHeight="1">
      <c r="A299" s="8"/>
      <c r="B299" s="22"/>
      <c r="C299" s="23"/>
      <c r="D299" s="26">
        <v>650.0</v>
      </c>
      <c r="E299" s="24" t="s">
        <v>174</v>
      </c>
      <c r="F299" s="79"/>
      <c r="G299" s="79"/>
      <c r="H299" s="79"/>
      <c r="I299" s="79"/>
      <c r="J299" s="79"/>
      <c r="K299" s="79"/>
      <c r="L299" s="79"/>
      <c r="M299" s="86">
        <f t="shared" ref="M299:M301" si="50">D299</f>
        <v>650</v>
      </c>
      <c r="N299" s="89"/>
    </row>
    <row r="300" ht="19.5" customHeight="1">
      <c r="A300" s="8"/>
      <c r="B300" s="22"/>
      <c r="C300" s="23"/>
      <c r="D300" s="26">
        <v>1500.0</v>
      </c>
      <c r="E300" s="24" t="s">
        <v>175</v>
      </c>
      <c r="F300" s="79"/>
      <c r="G300" s="79"/>
      <c r="H300" s="79"/>
      <c r="I300" s="79"/>
      <c r="J300" s="79"/>
      <c r="K300" s="79"/>
      <c r="L300" s="79"/>
      <c r="M300" s="86">
        <f t="shared" si="50"/>
        <v>1500</v>
      </c>
      <c r="N300" s="89"/>
    </row>
    <row r="301" ht="19.5" customHeight="1">
      <c r="A301" s="8"/>
      <c r="B301" s="22"/>
      <c r="C301" s="23"/>
      <c r="D301" s="26">
        <v>8500.0</v>
      </c>
      <c r="E301" s="24" t="s">
        <v>176</v>
      </c>
      <c r="F301" s="79"/>
      <c r="G301" s="79"/>
      <c r="H301" s="79"/>
      <c r="I301" s="79"/>
      <c r="J301" s="79"/>
      <c r="K301" s="79"/>
      <c r="L301" s="79"/>
      <c r="M301" s="86">
        <f t="shared" si="50"/>
        <v>8500</v>
      </c>
      <c r="N301" s="89"/>
    </row>
    <row r="302" ht="19.5" customHeight="1">
      <c r="A302" s="8"/>
      <c r="B302" s="22"/>
      <c r="C302" s="23"/>
      <c r="D302" s="26">
        <v>24100.0</v>
      </c>
      <c r="E302" s="24" t="s">
        <v>177</v>
      </c>
      <c r="F302" s="79"/>
      <c r="G302" s="79"/>
      <c r="H302" s="86">
        <f>D302</f>
        <v>24100</v>
      </c>
      <c r="I302" s="79"/>
      <c r="J302" s="79"/>
      <c r="K302" s="79"/>
      <c r="L302" s="79"/>
      <c r="N302" s="89"/>
    </row>
    <row r="303" ht="19.5" customHeight="1">
      <c r="A303" s="8"/>
      <c r="B303" s="22"/>
      <c r="C303" s="23"/>
      <c r="D303" s="26">
        <v>8500.0</v>
      </c>
      <c r="E303" s="24" t="s">
        <v>178</v>
      </c>
      <c r="F303" s="79"/>
      <c r="G303" s="79"/>
      <c r="H303" s="79"/>
      <c r="I303" s="79"/>
      <c r="J303" s="79"/>
      <c r="K303" s="79"/>
      <c r="L303" s="79"/>
      <c r="M303" s="86">
        <f t="shared" ref="M303:M304" si="51">D303</f>
        <v>8500</v>
      </c>
      <c r="N303" s="89"/>
    </row>
    <row r="304" ht="19.5" customHeight="1">
      <c r="A304" s="8"/>
      <c r="B304" s="22"/>
      <c r="C304" s="23"/>
      <c r="D304" s="26">
        <v>10000.0</v>
      </c>
      <c r="E304" s="24" t="s">
        <v>179</v>
      </c>
      <c r="F304" s="79"/>
      <c r="G304" s="79"/>
      <c r="H304" s="79"/>
      <c r="I304" s="79"/>
      <c r="J304" s="79"/>
      <c r="K304" s="79"/>
      <c r="L304" s="79"/>
      <c r="M304" s="86">
        <f t="shared" si="51"/>
        <v>10000</v>
      </c>
      <c r="N304" s="89"/>
    </row>
    <row r="305" ht="19.5" customHeight="1">
      <c r="A305" s="8"/>
      <c r="B305" s="22"/>
      <c r="C305" s="23"/>
      <c r="D305" s="26">
        <v>23000.0</v>
      </c>
      <c r="E305" s="24" t="s">
        <v>169</v>
      </c>
      <c r="F305" s="79"/>
      <c r="G305" s="79"/>
      <c r="H305" s="86">
        <f>D305</f>
        <v>23000</v>
      </c>
      <c r="I305" s="79"/>
      <c r="J305" s="79"/>
      <c r="K305" s="79"/>
      <c r="L305" s="79"/>
      <c r="N305" s="89"/>
    </row>
    <row r="306" ht="19.5" customHeight="1">
      <c r="A306" s="8"/>
      <c r="B306" s="22"/>
      <c r="C306" s="23"/>
      <c r="D306" s="26">
        <v>658.0</v>
      </c>
      <c r="E306" s="24" t="s">
        <v>133</v>
      </c>
      <c r="F306" s="79"/>
      <c r="G306" s="79"/>
      <c r="H306" s="79"/>
      <c r="I306" s="79"/>
      <c r="J306" s="79"/>
      <c r="K306" s="79"/>
      <c r="L306" s="79"/>
      <c r="M306" s="86">
        <f>D306</f>
        <v>658</v>
      </c>
      <c r="N306" s="89"/>
    </row>
    <row r="307" ht="19.5" customHeight="1">
      <c r="A307" s="8"/>
      <c r="B307" s="22"/>
      <c r="C307" s="23"/>
      <c r="D307" s="26">
        <v>15000.0</v>
      </c>
      <c r="E307" s="24" t="s">
        <v>180</v>
      </c>
      <c r="F307" s="79"/>
      <c r="G307" s="79"/>
      <c r="H307" s="86">
        <f>D307</f>
        <v>15000</v>
      </c>
      <c r="I307" s="79"/>
      <c r="J307" s="79"/>
      <c r="K307" s="79"/>
      <c r="L307" s="79"/>
      <c r="N307" s="89"/>
    </row>
    <row r="308" ht="19.5" customHeight="1">
      <c r="A308" s="8"/>
      <c r="B308" s="22"/>
      <c r="C308" s="23"/>
      <c r="D308" s="26">
        <v>7500.0</v>
      </c>
      <c r="E308" s="24" t="s">
        <v>181</v>
      </c>
      <c r="F308" s="79"/>
      <c r="G308" s="79"/>
      <c r="H308" s="79"/>
      <c r="I308" s="79"/>
      <c r="J308" s="79"/>
      <c r="K308" s="79"/>
      <c r="L308" s="79"/>
      <c r="M308" s="86">
        <f>D308</f>
        <v>7500</v>
      </c>
      <c r="N308" s="89"/>
    </row>
    <row r="309" ht="19.5" customHeight="1">
      <c r="A309" s="8"/>
      <c r="B309" s="22"/>
      <c r="C309" s="23"/>
      <c r="D309" s="26">
        <v>70.0</v>
      </c>
      <c r="E309" s="24" t="s">
        <v>182</v>
      </c>
      <c r="F309" s="79"/>
      <c r="G309" s="79"/>
      <c r="H309" s="79"/>
      <c r="I309" s="79"/>
      <c r="J309" s="86">
        <f>D309</f>
        <v>70</v>
      </c>
      <c r="K309" s="79"/>
      <c r="L309" s="79"/>
      <c r="N309" s="89"/>
    </row>
    <row r="310" ht="19.5" customHeight="1">
      <c r="A310" s="8"/>
      <c r="B310" s="22"/>
      <c r="C310" s="23"/>
      <c r="D310" s="26">
        <v>8000.0</v>
      </c>
      <c r="E310" s="24" t="s">
        <v>183</v>
      </c>
      <c r="F310" s="79"/>
      <c r="G310" s="79"/>
      <c r="H310" s="79"/>
      <c r="I310" s="79"/>
      <c r="J310" s="79"/>
      <c r="K310" s="79"/>
      <c r="L310" s="79"/>
      <c r="M310" s="86">
        <f t="shared" ref="M310:M314" si="52">D310</f>
        <v>8000</v>
      </c>
      <c r="N310" s="89"/>
    </row>
    <row r="311" ht="19.5" customHeight="1">
      <c r="A311" s="8"/>
      <c r="B311" s="22"/>
      <c r="C311" s="23"/>
      <c r="D311" s="26">
        <v>740.0</v>
      </c>
      <c r="E311" s="24" t="s">
        <v>184</v>
      </c>
      <c r="F311" s="79"/>
      <c r="G311" s="79"/>
      <c r="H311" s="79"/>
      <c r="I311" s="79"/>
      <c r="J311" s="79"/>
      <c r="K311" s="79"/>
      <c r="L311" s="79"/>
      <c r="M311" s="86">
        <f t="shared" si="52"/>
        <v>740</v>
      </c>
      <c r="N311" s="89"/>
    </row>
    <row r="312" ht="19.5" customHeight="1">
      <c r="A312" s="8"/>
      <c r="B312" s="22"/>
      <c r="C312" s="23"/>
      <c r="D312" s="26">
        <v>20000.0</v>
      </c>
      <c r="E312" s="24" t="s">
        <v>137</v>
      </c>
      <c r="F312" s="79"/>
      <c r="G312" s="79"/>
      <c r="H312" s="79"/>
      <c r="I312" s="79"/>
      <c r="J312" s="79"/>
      <c r="K312" s="79"/>
      <c r="L312" s="79"/>
      <c r="M312" s="86">
        <f t="shared" si="52"/>
        <v>20000</v>
      </c>
      <c r="N312" s="89"/>
    </row>
    <row r="313" ht="19.5" customHeight="1">
      <c r="A313" s="8"/>
      <c r="B313" s="22"/>
      <c r="C313" s="23"/>
      <c r="D313" s="26">
        <v>9648.0</v>
      </c>
      <c r="E313" s="24" t="s">
        <v>163</v>
      </c>
      <c r="F313" s="79"/>
      <c r="G313" s="79"/>
      <c r="H313" s="79"/>
      <c r="I313" s="79"/>
      <c r="J313" s="79"/>
      <c r="K313" s="79"/>
      <c r="L313" s="79"/>
      <c r="M313" s="86">
        <f t="shared" si="52"/>
        <v>9648</v>
      </c>
      <c r="N313" s="89"/>
    </row>
    <row r="314" ht="19.5" customHeight="1">
      <c r="A314" s="8"/>
      <c r="B314" s="22"/>
      <c r="C314" s="23"/>
      <c r="D314" s="26">
        <v>1300.0</v>
      </c>
      <c r="E314" s="24" t="s">
        <v>185</v>
      </c>
      <c r="F314" s="79"/>
      <c r="G314" s="79"/>
      <c r="H314" s="79"/>
      <c r="I314" s="79"/>
      <c r="J314" s="79"/>
      <c r="K314" s="79"/>
      <c r="L314" s="79"/>
      <c r="M314" s="86">
        <f t="shared" si="52"/>
        <v>1300</v>
      </c>
      <c r="N314" s="89"/>
    </row>
    <row r="315" ht="19.5" customHeight="1">
      <c r="A315" s="8"/>
      <c r="B315" s="22"/>
      <c r="C315" s="23"/>
      <c r="D315" s="26">
        <v>18200.0</v>
      </c>
      <c r="E315" s="24" t="s">
        <v>186</v>
      </c>
      <c r="F315" s="86">
        <f>D315</f>
        <v>18200</v>
      </c>
      <c r="G315" s="79"/>
      <c r="H315" s="79"/>
      <c r="I315" s="79"/>
      <c r="J315" s="79"/>
      <c r="K315" s="79"/>
      <c r="L315" s="79"/>
      <c r="N315" s="89"/>
    </row>
    <row r="316" ht="19.5" customHeight="1">
      <c r="A316" s="8"/>
      <c r="B316" s="22"/>
      <c r="C316" s="23"/>
      <c r="D316" s="26">
        <v>5000.0</v>
      </c>
      <c r="E316" s="24" t="s">
        <v>43</v>
      </c>
      <c r="F316" s="79"/>
      <c r="G316" s="79"/>
      <c r="H316" s="79"/>
      <c r="I316" s="86">
        <f t="shared" ref="I316:I322" si="53">D316</f>
        <v>5000</v>
      </c>
      <c r="J316" s="79"/>
      <c r="K316" s="79"/>
      <c r="L316" s="79"/>
      <c r="N316" s="89"/>
    </row>
    <row r="317" ht="19.5" customHeight="1">
      <c r="A317" s="8"/>
      <c r="B317" s="22"/>
      <c r="C317" s="23"/>
      <c r="D317" s="26">
        <v>6000.0</v>
      </c>
      <c r="E317" s="24" t="s">
        <v>44</v>
      </c>
      <c r="F317" s="79"/>
      <c r="G317" s="79"/>
      <c r="H317" s="79"/>
      <c r="I317" s="86">
        <f t="shared" si="53"/>
        <v>6000</v>
      </c>
      <c r="J317" s="79"/>
      <c r="K317" s="79"/>
      <c r="L317" s="79"/>
      <c r="M317" s="86"/>
      <c r="N317" s="89"/>
    </row>
    <row r="318" ht="19.5" customHeight="1">
      <c r="A318" s="8"/>
      <c r="B318" s="22"/>
      <c r="C318" s="23"/>
      <c r="D318" s="26">
        <v>6000.0</v>
      </c>
      <c r="E318" s="24" t="s">
        <v>45</v>
      </c>
      <c r="F318" s="79"/>
      <c r="G318" s="79"/>
      <c r="H318" s="79"/>
      <c r="I318" s="86">
        <f t="shared" si="53"/>
        <v>6000</v>
      </c>
      <c r="J318" s="79"/>
      <c r="K318" s="79"/>
      <c r="L318" s="79"/>
      <c r="M318" s="86"/>
      <c r="N318" s="89"/>
    </row>
    <row r="319" ht="19.5" customHeight="1">
      <c r="A319" s="8"/>
      <c r="B319" s="22"/>
      <c r="C319" s="23"/>
      <c r="D319" s="26">
        <v>5000.0</v>
      </c>
      <c r="E319" s="24" t="s">
        <v>46</v>
      </c>
      <c r="F319" s="79"/>
      <c r="G319" s="79"/>
      <c r="H319" s="79"/>
      <c r="I319" s="86">
        <f t="shared" si="53"/>
        <v>5000</v>
      </c>
      <c r="J319" s="79"/>
      <c r="K319" s="79"/>
      <c r="L319" s="79"/>
      <c r="M319" s="86"/>
      <c r="N319" s="89"/>
    </row>
    <row r="320" ht="19.5" customHeight="1">
      <c r="A320" s="8"/>
      <c r="B320" s="22"/>
      <c r="C320" s="23"/>
      <c r="D320" s="26">
        <v>6000.0</v>
      </c>
      <c r="E320" s="24" t="s">
        <v>47</v>
      </c>
      <c r="F320" s="79"/>
      <c r="G320" s="79"/>
      <c r="H320" s="79"/>
      <c r="I320" s="86">
        <f t="shared" si="53"/>
        <v>6000</v>
      </c>
      <c r="J320" s="79"/>
      <c r="K320" s="79"/>
      <c r="L320" s="79"/>
      <c r="M320" s="86"/>
      <c r="N320" s="89"/>
    </row>
    <row r="321" ht="19.5" customHeight="1">
      <c r="A321" s="8"/>
      <c r="B321" s="22"/>
      <c r="C321" s="23"/>
      <c r="D321" s="26">
        <v>5000.0</v>
      </c>
      <c r="E321" s="24" t="s">
        <v>48</v>
      </c>
      <c r="F321" s="79"/>
      <c r="G321" s="79"/>
      <c r="H321" s="79"/>
      <c r="I321" s="86">
        <f t="shared" si="53"/>
        <v>5000</v>
      </c>
      <c r="J321" s="79"/>
      <c r="K321" s="79"/>
      <c r="L321" s="79"/>
      <c r="M321" s="86"/>
      <c r="N321" s="89"/>
    </row>
    <row r="322" ht="19.5" customHeight="1">
      <c r="A322" s="8"/>
      <c r="B322" s="22"/>
      <c r="C322" s="23"/>
      <c r="D322" s="26">
        <v>5000.0</v>
      </c>
      <c r="E322" s="24" t="s">
        <v>49</v>
      </c>
      <c r="F322" s="79"/>
      <c r="G322" s="79"/>
      <c r="H322" s="79"/>
      <c r="I322" s="86">
        <f t="shared" si="53"/>
        <v>5000</v>
      </c>
      <c r="J322" s="79"/>
      <c r="K322" s="79"/>
      <c r="L322" s="79"/>
      <c r="M322" s="86"/>
      <c r="N322" s="89"/>
    </row>
    <row r="323" ht="19.5" customHeight="1">
      <c r="A323" s="8"/>
      <c r="B323" s="22"/>
      <c r="C323" s="23"/>
      <c r="D323" s="26"/>
      <c r="E323" s="24"/>
      <c r="F323" s="79"/>
      <c r="G323" s="79"/>
      <c r="H323" s="79"/>
      <c r="I323" s="79"/>
      <c r="J323" s="79"/>
      <c r="K323" s="79"/>
      <c r="L323" s="79"/>
      <c r="M323" s="79"/>
      <c r="N323" s="89"/>
    </row>
    <row r="324" ht="19.5" customHeight="1">
      <c r="A324" s="27"/>
      <c r="B324" s="25"/>
      <c r="C324" s="20" t="s">
        <v>18</v>
      </c>
      <c r="D324" s="30"/>
      <c r="E324" s="28"/>
      <c r="F324" s="30"/>
      <c r="G324" s="30"/>
      <c r="H324" s="30"/>
      <c r="I324" s="30"/>
      <c r="J324" s="30"/>
      <c r="K324" s="30"/>
      <c r="L324" s="30"/>
      <c r="M324" s="30"/>
      <c r="N324" s="90"/>
    </row>
    <row r="325" ht="19.5" customHeight="1">
      <c r="A325" s="8"/>
      <c r="B325" s="22"/>
      <c r="C325" s="23" t="s">
        <v>19</v>
      </c>
      <c r="D325" s="79"/>
      <c r="E325" s="29"/>
      <c r="F325" s="79"/>
      <c r="G325" s="79"/>
      <c r="H325" s="79"/>
      <c r="I325" s="79"/>
      <c r="J325" s="79"/>
      <c r="K325" s="79"/>
      <c r="L325" s="79"/>
      <c r="M325" s="79"/>
      <c r="N325" s="89"/>
    </row>
    <row r="326" ht="19.5" customHeight="1">
      <c r="A326" s="8"/>
      <c r="B326" s="25"/>
      <c r="C326" s="20" t="s">
        <v>20</v>
      </c>
      <c r="D326" s="30"/>
      <c r="E326" s="28"/>
      <c r="F326" s="30"/>
      <c r="G326" s="30"/>
      <c r="H326" s="30"/>
      <c r="I326" s="30"/>
      <c r="J326" s="30"/>
      <c r="K326" s="30"/>
      <c r="L326" s="30"/>
      <c r="M326" s="30"/>
      <c r="N326" s="90"/>
    </row>
    <row r="327" ht="19.5" customHeight="1">
      <c r="A327" s="8"/>
      <c r="B327" s="22"/>
      <c r="C327" s="23" t="s">
        <v>21</v>
      </c>
      <c r="D327" s="79"/>
      <c r="E327" s="29"/>
      <c r="F327" s="79"/>
      <c r="G327" s="79"/>
      <c r="H327" s="79"/>
      <c r="I327" s="79"/>
      <c r="J327" s="79"/>
      <c r="K327" s="79"/>
      <c r="L327" s="79"/>
      <c r="M327" s="79"/>
      <c r="N327" s="89"/>
    </row>
    <row r="328" ht="19.5" customHeight="1">
      <c r="A328" s="8"/>
      <c r="B328" s="25"/>
      <c r="C328" s="20" t="s">
        <v>22</v>
      </c>
      <c r="D328" s="30"/>
      <c r="E328" s="28"/>
      <c r="F328" s="30"/>
      <c r="G328" s="30"/>
      <c r="H328" s="30"/>
      <c r="I328" s="30"/>
      <c r="J328" s="30"/>
      <c r="K328" s="30"/>
      <c r="L328" s="30"/>
      <c r="M328" s="30"/>
      <c r="N328" s="90"/>
    </row>
    <row r="329" ht="19.5" customHeight="1">
      <c r="A329" s="8"/>
      <c r="B329" s="22"/>
      <c r="C329" s="23" t="s">
        <v>23</v>
      </c>
      <c r="D329" s="79"/>
      <c r="E329" s="29"/>
      <c r="F329" s="79"/>
      <c r="G329" s="79"/>
      <c r="H329" s="79"/>
      <c r="I329" s="79"/>
      <c r="J329" s="79"/>
      <c r="K329" s="79"/>
      <c r="L329" s="79"/>
      <c r="M329" s="79"/>
      <c r="N329" s="89"/>
    </row>
    <row r="330" ht="19.5" customHeight="1">
      <c r="A330" s="8"/>
      <c r="B330" s="16" t="s">
        <v>8</v>
      </c>
      <c r="C330" s="30"/>
      <c r="D330" s="86"/>
      <c r="E330" s="31"/>
      <c r="F330" s="86"/>
      <c r="G330" s="86"/>
      <c r="H330" s="86"/>
      <c r="I330" s="86"/>
      <c r="J330" s="86"/>
      <c r="K330" s="86"/>
      <c r="L330" s="86"/>
      <c r="M330" s="86"/>
      <c r="N330" s="86"/>
    </row>
  </sheetData>
  <mergeCells count="2">
    <mergeCell ref="B1:G1"/>
    <mergeCell ref="B3:N3"/>
  </mergeCell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25.13"/>
    <col customWidth="1" min="5" max="5" width="40.63"/>
    <col customWidth="1" min="6" max="6" width="21.75"/>
    <col customWidth="1" min="7" max="7" width="19.0"/>
    <col customWidth="1" min="8" max="8" width="32.63"/>
    <col customWidth="1" min="9" max="9" width="21.25"/>
    <col customWidth="1" min="10" max="10" width="24.63"/>
    <col customWidth="1" min="11" max="11" width="23.5"/>
    <col customWidth="1" min="12" max="12" width="20.13"/>
    <col customWidth="1" min="13" max="13" width="21.0"/>
    <col customWidth="1" min="14" max="14" width="24.63"/>
  </cols>
  <sheetData>
    <row r="1" ht="70.5" customHeight="1">
      <c r="A1" s="1"/>
      <c r="B1" s="2" t="s">
        <v>0</v>
      </c>
      <c r="H1" s="2"/>
      <c r="I1" s="2"/>
      <c r="J1" s="2"/>
      <c r="K1" s="54"/>
      <c r="L1" s="54"/>
      <c r="M1" s="54"/>
      <c r="N1" s="2">
        <v>2024.0</v>
      </c>
    </row>
    <row r="2" ht="12.0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30.0" customHeight="1">
      <c r="A3" s="4"/>
      <c r="B3" s="5"/>
    </row>
    <row r="4" ht="24.0" customHeight="1">
      <c r="A4" s="6"/>
      <c r="B4" s="91" t="s">
        <v>9</v>
      </c>
      <c r="C4" s="91" t="s">
        <v>10</v>
      </c>
      <c r="D4" s="91" t="s">
        <v>2</v>
      </c>
      <c r="E4" s="91" t="s">
        <v>69</v>
      </c>
      <c r="F4" s="91" t="s">
        <v>70</v>
      </c>
      <c r="G4" s="91" t="s">
        <v>71</v>
      </c>
      <c r="H4" s="91" t="s">
        <v>72</v>
      </c>
      <c r="I4" s="91" t="s">
        <v>4</v>
      </c>
      <c r="J4" s="91" t="s">
        <v>73</v>
      </c>
      <c r="K4" s="91" t="s">
        <v>187</v>
      </c>
      <c r="L4" s="91" t="s">
        <v>75</v>
      </c>
      <c r="M4" s="91" t="s">
        <v>76</v>
      </c>
      <c r="N4" s="91" t="s">
        <v>77</v>
      </c>
    </row>
    <row r="5" ht="21.0" customHeight="1">
      <c r="A5" s="55"/>
      <c r="B5" s="66" t="s">
        <v>188</v>
      </c>
      <c r="C5" s="57" t="s">
        <v>12</v>
      </c>
      <c r="D5" s="58">
        <v>1750.0</v>
      </c>
      <c r="E5" s="39" t="s">
        <v>79</v>
      </c>
      <c r="F5" s="57"/>
      <c r="G5" s="57"/>
      <c r="H5" s="57"/>
      <c r="I5" s="57"/>
      <c r="J5" s="57"/>
      <c r="K5" s="57"/>
      <c r="L5" s="57"/>
      <c r="M5" s="58">
        <f t="shared" ref="M5:M9" si="1">D5</f>
        <v>1750</v>
      </c>
      <c r="N5" s="57"/>
    </row>
    <row r="6" ht="21.0" customHeight="1">
      <c r="A6" s="55"/>
      <c r="B6" s="66"/>
      <c r="C6" s="57"/>
      <c r="D6" s="57">
        <v>350.0</v>
      </c>
      <c r="E6" s="86" t="s">
        <v>80</v>
      </c>
      <c r="F6" s="57"/>
      <c r="G6" s="57"/>
      <c r="H6" s="57"/>
      <c r="I6" s="57"/>
      <c r="J6" s="57"/>
      <c r="K6" s="57"/>
      <c r="L6" s="57"/>
      <c r="M6" s="57">
        <f t="shared" si="1"/>
        <v>350</v>
      </c>
      <c r="N6" s="57"/>
    </row>
    <row r="7" ht="21.0" customHeight="1">
      <c r="A7" s="55"/>
      <c r="B7" s="66"/>
      <c r="C7" s="57"/>
      <c r="D7" s="57">
        <v>346.0</v>
      </c>
      <c r="E7" s="39" t="s">
        <v>81</v>
      </c>
      <c r="F7" s="57"/>
      <c r="G7" s="57"/>
      <c r="H7" s="57"/>
      <c r="I7" s="57"/>
      <c r="J7" s="57"/>
      <c r="K7" s="57"/>
      <c r="L7" s="57"/>
      <c r="M7" s="57">
        <f t="shared" si="1"/>
        <v>346</v>
      </c>
      <c r="N7" s="57"/>
    </row>
    <row r="8" ht="21.0" customHeight="1">
      <c r="A8" s="55"/>
      <c r="B8" s="66"/>
      <c r="C8" s="57"/>
      <c r="D8" s="57">
        <v>1078.0</v>
      </c>
      <c r="E8" s="86" t="s">
        <v>82</v>
      </c>
      <c r="F8" s="57"/>
      <c r="G8" s="57"/>
      <c r="H8" s="57"/>
      <c r="I8" s="57"/>
      <c r="J8" s="57"/>
      <c r="K8" s="57"/>
      <c r="L8" s="57"/>
      <c r="M8" s="57">
        <f t="shared" si="1"/>
        <v>1078</v>
      </c>
      <c r="N8" s="57"/>
    </row>
    <row r="9" ht="21.0" customHeight="1">
      <c r="A9" s="55"/>
      <c r="B9" s="66"/>
      <c r="C9" s="57"/>
      <c r="D9" s="57">
        <v>189.9</v>
      </c>
      <c r="E9" s="39" t="s">
        <v>83</v>
      </c>
      <c r="F9" s="57"/>
      <c r="G9" s="57"/>
      <c r="H9" s="57"/>
      <c r="I9" s="57"/>
      <c r="J9" s="57"/>
      <c r="K9" s="57"/>
      <c r="L9" s="57"/>
      <c r="M9" s="57">
        <f t="shared" si="1"/>
        <v>189.9</v>
      </c>
      <c r="N9" s="57"/>
    </row>
    <row r="10" ht="21.0" customHeight="1">
      <c r="A10" s="55"/>
      <c r="B10" s="66"/>
      <c r="C10" s="57"/>
      <c r="D10" s="58">
        <v>596200.0</v>
      </c>
      <c r="E10" s="86" t="s">
        <v>84</v>
      </c>
      <c r="F10" s="57"/>
      <c r="G10" s="57"/>
      <c r="H10" s="57"/>
      <c r="I10" s="57"/>
      <c r="J10" s="57"/>
      <c r="K10" s="58">
        <f>D10</f>
        <v>596200</v>
      </c>
      <c r="L10" s="57"/>
      <c r="N10" s="57"/>
    </row>
    <row r="11" ht="21.0" customHeight="1">
      <c r="A11" s="55"/>
      <c r="B11" s="66"/>
      <c r="C11" s="57"/>
      <c r="D11" s="57">
        <v>5020.55</v>
      </c>
      <c r="E11" s="88" t="s">
        <v>141</v>
      </c>
      <c r="F11" s="57"/>
      <c r="G11" s="57"/>
      <c r="H11" s="57"/>
      <c r="I11" s="57"/>
      <c r="J11" s="57"/>
      <c r="K11" s="57"/>
      <c r="L11" s="57"/>
      <c r="M11" s="57">
        <f t="shared" ref="M11:M13" si="2">D11</f>
        <v>5020.55</v>
      </c>
      <c r="N11" s="57"/>
    </row>
    <row r="12" ht="21.0" customHeight="1">
      <c r="A12" s="55"/>
      <c r="B12" s="66"/>
      <c r="C12" s="57"/>
      <c r="D12" s="58">
        <v>25276.0</v>
      </c>
      <c r="E12" s="57" t="s">
        <v>189</v>
      </c>
      <c r="F12" s="57"/>
      <c r="G12" s="57"/>
      <c r="H12" s="57"/>
      <c r="I12" s="57"/>
      <c r="J12" s="57"/>
      <c r="K12" s="57"/>
      <c r="L12" s="57"/>
      <c r="M12" s="58">
        <f t="shared" si="2"/>
        <v>25276</v>
      </c>
      <c r="N12" s="57"/>
    </row>
    <row r="13" ht="21.0" customHeight="1">
      <c r="A13" s="55"/>
      <c r="B13" s="66"/>
      <c r="C13" s="57"/>
      <c r="D13" s="58">
        <v>300.0</v>
      </c>
      <c r="E13" s="57" t="s">
        <v>87</v>
      </c>
      <c r="F13" s="57"/>
      <c r="G13" s="57"/>
      <c r="H13" s="57"/>
      <c r="I13" s="57"/>
      <c r="J13" s="57"/>
      <c r="K13" s="57"/>
      <c r="L13" s="57"/>
      <c r="M13" s="58">
        <f t="shared" si="2"/>
        <v>300</v>
      </c>
      <c r="N13" s="57"/>
    </row>
    <row r="14" ht="21.0" customHeight="1">
      <c r="A14" s="55"/>
      <c r="B14" s="66"/>
      <c r="C14" s="57"/>
      <c r="D14" s="58">
        <v>20000.0</v>
      </c>
      <c r="E14" s="57" t="s">
        <v>190</v>
      </c>
      <c r="F14" s="57"/>
      <c r="G14" s="57"/>
      <c r="H14" s="57"/>
      <c r="I14" s="57"/>
      <c r="J14" s="57"/>
      <c r="K14" s="58">
        <f>D14</f>
        <v>20000</v>
      </c>
      <c r="L14" s="57"/>
      <c r="N14" s="57"/>
    </row>
    <row r="15" ht="21.0" customHeight="1">
      <c r="A15" s="55"/>
      <c r="B15" s="66"/>
      <c r="C15" s="57"/>
      <c r="D15" s="58">
        <v>100000.0</v>
      </c>
      <c r="E15" s="57" t="s">
        <v>90</v>
      </c>
      <c r="F15" s="57"/>
      <c r="G15" s="57"/>
      <c r="H15" s="57"/>
      <c r="I15" s="57"/>
      <c r="J15" s="57"/>
      <c r="K15" s="57"/>
      <c r="L15" s="58">
        <f>D15</f>
        <v>100000</v>
      </c>
      <c r="N15" s="57"/>
    </row>
    <row r="16" ht="21.0" customHeight="1">
      <c r="A16" s="55"/>
      <c r="B16" s="66"/>
      <c r="C16" s="57"/>
      <c r="D16" s="58">
        <v>8263.0</v>
      </c>
      <c r="E16" s="57" t="s">
        <v>157</v>
      </c>
      <c r="F16" s="57"/>
      <c r="G16" s="57"/>
      <c r="H16" s="57"/>
      <c r="I16" s="57"/>
      <c r="J16" s="57"/>
      <c r="K16" s="57"/>
      <c r="L16" s="57"/>
      <c r="M16" s="58">
        <f t="shared" ref="M16:M21" si="3">D16</f>
        <v>8263</v>
      </c>
      <c r="N16" s="57"/>
    </row>
    <row r="17" ht="21.0" customHeight="1">
      <c r="A17" s="55"/>
      <c r="B17" s="66"/>
      <c r="C17" s="57" t="s">
        <v>13</v>
      </c>
      <c r="D17" s="57">
        <v>700.0</v>
      </c>
      <c r="E17" s="39" t="s">
        <v>79</v>
      </c>
      <c r="F17" s="57"/>
      <c r="G17" s="57"/>
      <c r="H17" s="57"/>
      <c r="I17" s="57"/>
      <c r="J17" s="57"/>
      <c r="K17" s="57"/>
      <c r="L17" s="57"/>
      <c r="M17" s="57">
        <f t="shared" si="3"/>
        <v>700</v>
      </c>
      <c r="N17" s="57"/>
    </row>
    <row r="18" ht="21.0" customHeight="1">
      <c r="A18" s="55"/>
      <c r="B18" s="66"/>
      <c r="C18" s="57"/>
      <c r="D18" s="57">
        <v>140.0</v>
      </c>
      <c r="E18" s="86" t="s">
        <v>80</v>
      </c>
      <c r="F18" s="57"/>
      <c r="G18" s="57"/>
      <c r="H18" s="57"/>
      <c r="I18" s="57"/>
      <c r="J18" s="57"/>
      <c r="K18" s="57"/>
      <c r="L18" s="57"/>
      <c r="M18" s="57">
        <f t="shared" si="3"/>
        <v>140</v>
      </c>
      <c r="N18" s="57"/>
    </row>
    <row r="19" ht="21.0" customHeight="1">
      <c r="A19" s="55"/>
      <c r="B19" s="66"/>
      <c r="C19" s="57"/>
      <c r="D19" s="57">
        <v>37.0</v>
      </c>
      <c r="E19" s="39" t="s">
        <v>81</v>
      </c>
      <c r="F19" s="57"/>
      <c r="G19" s="57"/>
      <c r="H19" s="57"/>
      <c r="I19" s="57"/>
      <c r="J19" s="57"/>
      <c r="K19" s="57"/>
      <c r="L19" s="57"/>
      <c r="M19" s="57">
        <f t="shared" si="3"/>
        <v>37</v>
      </c>
      <c r="N19" s="57"/>
    </row>
    <row r="20" ht="21.0" customHeight="1">
      <c r="A20" s="55"/>
      <c r="B20" s="66"/>
      <c r="C20" s="57"/>
      <c r="D20" s="57">
        <v>116.0</v>
      </c>
      <c r="E20" s="86" t="s">
        <v>82</v>
      </c>
      <c r="F20" s="57"/>
      <c r="G20" s="57"/>
      <c r="H20" s="57"/>
      <c r="I20" s="57"/>
      <c r="J20" s="57"/>
      <c r="K20" s="57"/>
      <c r="L20" s="57"/>
      <c r="M20" s="57">
        <f t="shared" si="3"/>
        <v>116</v>
      </c>
      <c r="N20" s="57"/>
    </row>
    <row r="21" ht="21.0" customHeight="1">
      <c r="A21" s="55"/>
      <c r="B21" s="66"/>
      <c r="C21" s="57"/>
      <c r="D21" s="57">
        <v>17.4</v>
      </c>
      <c r="E21" s="39" t="s">
        <v>83</v>
      </c>
      <c r="F21" s="57"/>
      <c r="G21" s="57"/>
      <c r="H21" s="57"/>
      <c r="I21" s="57"/>
      <c r="J21" s="57"/>
      <c r="K21" s="57"/>
      <c r="L21" s="57"/>
      <c r="M21" s="57">
        <f t="shared" si="3"/>
        <v>17.4</v>
      </c>
      <c r="N21" s="57"/>
    </row>
    <row r="22" ht="21.0" customHeight="1">
      <c r="A22" s="55"/>
      <c r="B22" s="66"/>
      <c r="C22" s="57"/>
      <c r="D22" s="58">
        <v>65000.0</v>
      </c>
      <c r="E22" s="86" t="s">
        <v>84</v>
      </c>
      <c r="F22" s="57"/>
      <c r="G22" s="57"/>
      <c r="H22" s="57"/>
      <c r="I22" s="57"/>
      <c r="J22" s="57"/>
      <c r="K22" s="58">
        <f>D22</f>
        <v>65000</v>
      </c>
      <c r="L22" s="57"/>
      <c r="N22" s="57"/>
    </row>
    <row r="23" ht="21.0" customHeight="1">
      <c r="A23" s="55"/>
      <c r="B23" s="66"/>
      <c r="C23" s="57"/>
      <c r="D23" s="57">
        <v>5020.55</v>
      </c>
      <c r="E23" s="88" t="s">
        <v>141</v>
      </c>
      <c r="F23" s="57"/>
      <c r="G23" s="57"/>
      <c r="H23" s="57"/>
      <c r="I23" s="57"/>
      <c r="J23" s="57"/>
      <c r="K23" s="57"/>
      <c r="L23" s="57"/>
      <c r="M23" s="57">
        <f>D23</f>
        <v>5020.55</v>
      </c>
      <c r="N23" s="57"/>
    </row>
    <row r="24" ht="21.0" customHeight="1">
      <c r="A24" s="55"/>
      <c r="B24" s="66"/>
      <c r="C24" s="57"/>
      <c r="D24" s="58">
        <v>80000.0</v>
      </c>
      <c r="E24" s="92" t="s">
        <v>190</v>
      </c>
      <c r="F24" s="57"/>
      <c r="G24" s="57"/>
      <c r="H24" s="57"/>
      <c r="I24" s="57"/>
      <c r="J24" s="57"/>
      <c r="K24" s="58">
        <f>D24</f>
        <v>80000</v>
      </c>
      <c r="L24" s="57"/>
      <c r="N24" s="57"/>
    </row>
    <row r="25" ht="21.0" customHeight="1">
      <c r="A25" s="55"/>
      <c r="B25" s="66"/>
      <c r="C25" s="57"/>
      <c r="D25" s="58">
        <v>200000.0</v>
      </c>
      <c r="E25" s="92" t="s">
        <v>90</v>
      </c>
      <c r="F25" s="57"/>
      <c r="G25" s="57"/>
      <c r="H25" s="57"/>
      <c r="I25" s="57"/>
      <c r="J25" s="57"/>
      <c r="K25" s="57"/>
      <c r="L25" s="58">
        <f>D25</f>
        <v>200000</v>
      </c>
      <c r="N25" s="57"/>
    </row>
    <row r="26" ht="21.0" customHeight="1">
      <c r="A26" s="55"/>
      <c r="B26" s="66"/>
      <c r="C26" s="57"/>
      <c r="D26" s="58">
        <v>33448.0</v>
      </c>
      <c r="E26" s="92" t="s">
        <v>157</v>
      </c>
      <c r="F26" s="57"/>
      <c r="G26" s="57"/>
      <c r="H26" s="57"/>
      <c r="I26" s="57"/>
      <c r="J26" s="57"/>
      <c r="K26" s="57"/>
      <c r="L26" s="57"/>
      <c r="M26" s="58">
        <f t="shared" ref="M26:M32" si="4">D26</f>
        <v>33448</v>
      </c>
      <c r="N26" s="57"/>
    </row>
    <row r="27" ht="21.0" customHeight="1">
      <c r="A27" s="55"/>
      <c r="B27" s="66"/>
      <c r="C27" s="57"/>
      <c r="D27" s="57"/>
      <c r="E27" s="88"/>
      <c r="F27" s="57"/>
      <c r="G27" s="57"/>
      <c r="H27" s="57"/>
      <c r="I27" s="57"/>
      <c r="J27" s="57"/>
      <c r="K27" s="57"/>
      <c r="L27" s="57"/>
      <c r="M27" s="57" t="str">
        <f t="shared" si="4"/>
        <v/>
      </c>
      <c r="N27" s="57"/>
    </row>
    <row r="28" ht="21.0" customHeight="1">
      <c r="A28" s="55"/>
      <c r="B28" s="66"/>
      <c r="C28" s="57" t="s">
        <v>14</v>
      </c>
      <c r="D28" s="62">
        <v>3850.0</v>
      </c>
      <c r="E28" s="86" t="s">
        <v>79</v>
      </c>
      <c r="F28" s="63"/>
      <c r="G28" s="63"/>
      <c r="H28" s="63"/>
      <c r="I28" s="63"/>
      <c r="J28" s="63"/>
      <c r="K28" s="63"/>
      <c r="L28" s="63"/>
      <c r="M28" s="58">
        <f t="shared" si="4"/>
        <v>3850</v>
      </c>
      <c r="N28" s="57"/>
    </row>
    <row r="29" ht="21.0" customHeight="1">
      <c r="A29" s="55"/>
      <c r="B29" s="66"/>
      <c r="C29" s="57"/>
      <c r="D29" s="63">
        <v>770.0</v>
      </c>
      <c r="E29" s="39" t="s">
        <v>80</v>
      </c>
      <c r="F29" s="63"/>
      <c r="G29" s="63"/>
      <c r="H29" s="63"/>
      <c r="I29" s="63"/>
      <c r="J29" s="63"/>
      <c r="K29" s="63"/>
      <c r="L29" s="63"/>
      <c r="M29" s="57">
        <f t="shared" si="4"/>
        <v>770</v>
      </c>
      <c r="N29" s="57"/>
    </row>
    <row r="30" ht="21.0" customHeight="1">
      <c r="A30" s="55"/>
      <c r="B30" s="66"/>
      <c r="C30" s="57"/>
      <c r="D30" s="63">
        <v>633.0</v>
      </c>
      <c r="E30" s="86" t="s">
        <v>81</v>
      </c>
      <c r="F30" s="63"/>
      <c r="G30" s="63"/>
      <c r="H30" s="63"/>
      <c r="I30" s="63"/>
      <c r="J30" s="63"/>
      <c r="K30" s="63"/>
      <c r="L30" s="63"/>
      <c r="M30" s="57">
        <f t="shared" si="4"/>
        <v>633</v>
      </c>
      <c r="N30" s="57"/>
    </row>
    <row r="31" ht="21.0" customHeight="1">
      <c r="A31" s="55"/>
      <c r="B31" s="66"/>
      <c r="C31" s="57"/>
      <c r="D31" s="62">
        <v>2064.0</v>
      </c>
      <c r="E31" s="39" t="s">
        <v>82</v>
      </c>
      <c r="F31" s="63"/>
      <c r="G31" s="63"/>
      <c r="H31" s="63"/>
      <c r="I31" s="63"/>
      <c r="J31" s="63"/>
      <c r="K31" s="63"/>
      <c r="L31" s="63"/>
      <c r="M31" s="58">
        <f t="shared" si="4"/>
        <v>2064</v>
      </c>
      <c r="N31" s="57"/>
    </row>
    <row r="32" ht="21.0" customHeight="1">
      <c r="A32" s="55"/>
      <c r="B32" s="66"/>
      <c r="C32" s="57"/>
      <c r="D32" s="63">
        <v>309.6</v>
      </c>
      <c r="E32" s="86" t="s">
        <v>83</v>
      </c>
      <c r="F32" s="63"/>
      <c r="G32" s="63"/>
      <c r="H32" s="63"/>
      <c r="I32" s="63"/>
      <c r="J32" s="63"/>
      <c r="K32" s="63"/>
      <c r="L32" s="63"/>
      <c r="M32" s="57">
        <f t="shared" si="4"/>
        <v>309.6</v>
      </c>
      <c r="N32" s="57"/>
    </row>
    <row r="33" ht="21.0" customHeight="1">
      <c r="A33" s="55"/>
      <c r="B33" s="66"/>
      <c r="C33" s="57"/>
      <c r="D33" s="62">
        <v>1126509.0</v>
      </c>
      <c r="E33" s="39" t="s">
        <v>84</v>
      </c>
      <c r="F33" s="63"/>
      <c r="G33" s="63"/>
      <c r="H33" s="63"/>
      <c r="I33" s="63"/>
      <c r="J33" s="63"/>
      <c r="K33" s="58">
        <f>D33</f>
        <v>1126509</v>
      </c>
      <c r="L33" s="63"/>
      <c r="N33" s="57"/>
    </row>
    <row r="34" ht="21.0" customHeight="1">
      <c r="A34" s="55"/>
      <c r="B34" s="66"/>
      <c r="C34" s="57"/>
      <c r="D34" s="93">
        <v>5020.55</v>
      </c>
      <c r="E34" s="88" t="s">
        <v>141</v>
      </c>
      <c r="F34" s="63"/>
      <c r="G34" s="63"/>
      <c r="H34" s="63"/>
      <c r="I34" s="63"/>
      <c r="J34" s="63"/>
      <c r="K34" s="63"/>
      <c r="L34" s="63"/>
      <c r="M34" s="94">
        <f t="shared" ref="M34:M36" si="5">D34</f>
        <v>5020.55</v>
      </c>
      <c r="N34" s="57"/>
    </row>
    <row r="35" ht="21.0" customHeight="1">
      <c r="A35" s="55"/>
      <c r="B35" s="66"/>
      <c r="C35" s="57"/>
      <c r="D35" s="62">
        <v>55552.0</v>
      </c>
      <c r="E35" s="57" t="s">
        <v>86</v>
      </c>
      <c r="F35" s="63"/>
      <c r="G35" s="63"/>
      <c r="H35" s="63"/>
      <c r="I35" s="63"/>
      <c r="J35" s="63"/>
      <c r="K35" s="63"/>
      <c r="L35" s="63"/>
      <c r="M35" s="58">
        <f t="shared" si="5"/>
        <v>55552</v>
      </c>
      <c r="N35" s="57"/>
    </row>
    <row r="36" ht="21.0" customHeight="1">
      <c r="A36" s="55"/>
      <c r="B36" s="66"/>
      <c r="C36" s="57"/>
      <c r="D36" s="63">
        <v>450.0</v>
      </c>
      <c r="E36" s="57" t="s">
        <v>87</v>
      </c>
      <c r="F36" s="63"/>
      <c r="G36" s="63"/>
      <c r="H36" s="63"/>
      <c r="I36" s="63"/>
      <c r="J36" s="63"/>
      <c r="K36" s="63"/>
      <c r="L36" s="63"/>
      <c r="M36" s="57">
        <f t="shared" si="5"/>
        <v>450</v>
      </c>
      <c r="N36" s="57"/>
    </row>
    <row r="37" ht="21.0" customHeight="1">
      <c r="A37" s="55"/>
      <c r="B37" s="66"/>
      <c r="C37" s="57"/>
      <c r="D37" s="62">
        <v>60000.0</v>
      </c>
      <c r="E37" s="57" t="s">
        <v>190</v>
      </c>
      <c r="F37" s="63"/>
      <c r="G37" s="63"/>
      <c r="H37" s="63"/>
      <c r="I37" s="63"/>
      <c r="J37" s="63"/>
      <c r="K37" s="58">
        <f>D37</f>
        <v>60000</v>
      </c>
      <c r="L37" s="63"/>
      <c r="N37" s="57"/>
    </row>
    <row r="38" ht="21.0" customHeight="1">
      <c r="A38" s="55"/>
      <c r="B38" s="66"/>
      <c r="C38" s="57"/>
      <c r="D38" s="62">
        <v>17765.0</v>
      </c>
      <c r="E38" s="63" t="s">
        <v>157</v>
      </c>
      <c r="F38" s="63"/>
      <c r="G38" s="63"/>
      <c r="H38" s="63"/>
      <c r="I38" s="63"/>
      <c r="J38" s="63"/>
      <c r="K38" s="63"/>
      <c r="L38" s="63"/>
      <c r="M38" s="58">
        <f>D38</f>
        <v>17765</v>
      </c>
      <c r="N38" s="57"/>
    </row>
    <row r="39" ht="21.0" customHeight="1">
      <c r="A39" s="55"/>
      <c r="B39" s="66"/>
      <c r="C39" s="57"/>
      <c r="D39" s="62">
        <v>410000.0</v>
      </c>
      <c r="E39" s="63" t="s">
        <v>90</v>
      </c>
      <c r="F39" s="63"/>
      <c r="G39" s="63"/>
      <c r="H39" s="63"/>
      <c r="I39" s="63"/>
      <c r="J39" s="63"/>
      <c r="K39" s="63"/>
      <c r="L39" s="58">
        <f>D39</f>
        <v>410000</v>
      </c>
      <c r="N39" s="57"/>
    </row>
    <row r="40" ht="21.0" customHeight="1">
      <c r="A40" s="55"/>
      <c r="B40" s="66"/>
      <c r="C40" s="57"/>
      <c r="D40" s="63"/>
      <c r="E40" s="63"/>
      <c r="F40" s="63"/>
      <c r="G40" s="63"/>
      <c r="H40" s="63"/>
      <c r="I40" s="63"/>
      <c r="J40" s="63"/>
      <c r="K40" s="63"/>
      <c r="L40" s="63"/>
      <c r="M40" s="57" t="str">
        <f t="shared" ref="M40:M46" si="6">D40</f>
        <v/>
      </c>
      <c r="N40" s="57"/>
    </row>
    <row r="41" ht="21.0" customHeight="1">
      <c r="A41" s="55"/>
      <c r="B41" s="66"/>
      <c r="C41" s="57"/>
      <c r="D41" s="63"/>
      <c r="E41" s="63"/>
      <c r="F41" s="63"/>
      <c r="G41" s="63"/>
      <c r="H41" s="63"/>
      <c r="I41" s="63"/>
      <c r="J41" s="63"/>
      <c r="K41" s="63"/>
      <c r="L41" s="63"/>
      <c r="M41" s="57" t="str">
        <f t="shared" si="6"/>
        <v/>
      </c>
      <c r="N41" s="57"/>
    </row>
    <row r="42" ht="21.0" customHeight="1">
      <c r="A42" s="55"/>
      <c r="B42" s="66"/>
      <c r="C42" s="57" t="s">
        <v>15</v>
      </c>
      <c r="D42" s="95">
        <v>1155.0</v>
      </c>
      <c r="E42" s="39" t="s">
        <v>79</v>
      </c>
      <c r="F42" s="58"/>
      <c r="G42" s="57"/>
      <c r="H42" s="57"/>
      <c r="I42" s="57"/>
      <c r="J42" s="57"/>
      <c r="K42" s="58"/>
      <c r="L42" s="58"/>
      <c r="M42" s="58">
        <f t="shared" si="6"/>
        <v>1155</v>
      </c>
      <c r="N42" s="57"/>
    </row>
    <row r="43" ht="21.0" customHeight="1">
      <c r="A43" s="55"/>
      <c r="B43" s="66"/>
      <c r="C43" s="57"/>
      <c r="D43" s="95">
        <v>231.0</v>
      </c>
      <c r="E43" s="86" t="s">
        <v>80</v>
      </c>
      <c r="F43" s="58"/>
      <c r="G43" s="57"/>
      <c r="H43" s="57"/>
      <c r="I43" s="57"/>
      <c r="J43" s="57"/>
      <c r="K43" s="58"/>
      <c r="L43" s="58"/>
      <c r="M43" s="58">
        <f t="shared" si="6"/>
        <v>231</v>
      </c>
      <c r="N43" s="57"/>
    </row>
    <row r="44" ht="21.0" customHeight="1">
      <c r="A44" s="55"/>
      <c r="B44" s="66"/>
      <c r="C44" s="57"/>
      <c r="D44" s="95">
        <v>180.0</v>
      </c>
      <c r="E44" s="39" t="s">
        <v>81</v>
      </c>
      <c r="F44" s="58"/>
      <c r="G44" s="57"/>
      <c r="H44" s="57"/>
      <c r="I44" s="57"/>
      <c r="J44" s="57"/>
      <c r="K44" s="58"/>
      <c r="L44" s="58"/>
      <c r="M44" s="58">
        <f t="shared" si="6"/>
        <v>180</v>
      </c>
      <c r="N44" s="57"/>
    </row>
    <row r="45" ht="21.0" customHeight="1">
      <c r="A45" s="55"/>
      <c r="B45" s="66"/>
      <c r="C45" s="57"/>
      <c r="D45" s="95">
        <v>812.0</v>
      </c>
      <c r="E45" s="86" t="s">
        <v>82</v>
      </c>
      <c r="F45" s="58"/>
      <c r="G45" s="57"/>
      <c r="H45" s="57"/>
      <c r="I45" s="57"/>
      <c r="J45" s="57"/>
      <c r="K45" s="58"/>
      <c r="L45" s="58"/>
      <c r="M45" s="58">
        <f t="shared" si="6"/>
        <v>812</v>
      </c>
      <c r="N45" s="57"/>
    </row>
    <row r="46" ht="21.0" customHeight="1">
      <c r="A46" s="55"/>
      <c r="B46" s="66"/>
      <c r="C46" s="57"/>
      <c r="D46" s="95">
        <v>144.3</v>
      </c>
      <c r="E46" s="39" t="s">
        <v>83</v>
      </c>
      <c r="F46" s="58"/>
      <c r="G46" s="57"/>
      <c r="H46" s="57"/>
      <c r="I46" s="57"/>
      <c r="J46" s="57"/>
      <c r="K46" s="58"/>
      <c r="L46" s="58"/>
      <c r="M46" s="58">
        <f t="shared" si="6"/>
        <v>144.3</v>
      </c>
      <c r="N46" s="57"/>
    </row>
    <row r="47" ht="21.0" customHeight="1">
      <c r="A47" s="55"/>
      <c r="B47" s="66"/>
      <c r="C47" s="57"/>
      <c r="D47" s="95">
        <v>507000.0</v>
      </c>
      <c r="E47" s="86" t="s">
        <v>84</v>
      </c>
      <c r="F47" s="58"/>
      <c r="G47" s="57"/>
      <c r="H47" s="57"/>
      <c r="I47" s="57"/>
      <c r="J47" s="57"/>
      <c r="K47" s="58">
        <f>D47</f>
        <v>507000</v>
      </c>
      <c r="L47" s="58"/>
      <c r="N47" s="57"/>
    </row>
    <row r="48" ht="21.0" customHeight="1">
      <c r="A48" s="55"/>
      <c r="B48" s="66"/>
      <c r="C48" s="57"/>
      <c r="D48" s="95">
        <v>5020.25</v>
      </c>
      <c r="E48" s="88" t="s">
        <v>141</v>
      </c>
      <c r="F48" s="58"/>
      <c r="G48" s="57"/>
      <c r="H48" s="57"/>
      <c r="I48" s="57"/>
      <c r="J48" s="57"/>
      <c r="K48" s="58"/>
      <c r="L48" s="58"/>
      <c r="M48" s="58">
        <f>D48</f>
        <v>5020.25</v>
      </c>
      <c r="N48" s="57"/>
    </row>
    <row r="49" ht="21.0" customHeight="1">
      <c r="A49" s="55"/>
      <c r="B49" s="66"/>
      <c r="C49" s="57"/>
      <c r="D49" s="95">
        <v>60000.0</v>
      </c>
      <c r="E49" s="87" t="s">
        <v>190</v>
      </c>
      <c r="F49" s="58"/>
      <c r="G49" s="57"/>
      <c r="H49" s="57"/>
      <c r="I49" s="57"/>
      <c r="J49" s="57"/>
      <c r="K49" s="58">
        <f>D49</f>
        <v>60000</v>
      </c>
      <c r="L49" s="58"/>
      <c r="N49" s="57"/>
    </row>
    <row r="50" ht="21.0" customHeight="1">
      <c r="A50" s="55"/>
      <c r="B50" s="66"/>
      <c r="C50" s="57"/>
      <c r="D50" s="95">
        <v>6881.0</v>
      </c>
      <c r="E50" s="88" t="s">
        <v>157</v>
      </c>
      <c r="F50" s="58"/>
      <c r="G50" s="57"/>
      <c r="H50" s="57"/>
      <c r="I50" s="57"/>
      <c r="J50" s="57"/>
      <c r="K50" s="58"/>
      <c r="L50" s="58"/>
      <c r="M50" s="58">
        <f t="shared" ref="M50:M57" si="7">D50</f>
        <v>6881</v>
      </c>
      <c r="N50" s="57"/>
    </row>
    <row r="51" ht="21.0" customHeight="1">
      <c r="A51" s="55"/>
      <c r="B51" s="66"/>
      <c r="C51" s="57"/>
      <c r="D51" s="95">
        <v>20276.0</v>
      </c>
      <c r="E51" s="96" t="s">
        <v>191</v>
      </c>
      <c r="F51" s="57"/>
      <c r="G51" s="57"/>
      <c r="H51" s="57"/>
      <c r="I51" s="57"/>
      <c r="J51" s="57"/>
      <c r="K51" s="57"/>
      <c r="L51" s="57"/>
      <c r="M51" s="58">
        <f t="shared" si="7"/>
        <v>20276</v>
      </c>
      <c r="N51" s="57"/>
    </row>
    <row r="52" ht="21.0" customHeight="1">
      <c r="A52" s="55"/>
      <c r="B52" s="66"/>
      <c r="C52" s="57"/>
      <c r="D52" s="95">
        <v>1500.0</v>
      </c>
      <c r="E52" s="97" t="s">
        <v>192</v>
      </c>
      <c r="F52" s="57"/>
      <c r="G52" s="57"/>
      <c r="H52" s="57"/>
      <c r="I52" s="57"/>
      <c r="J52" s="57"/>
      <c r="K52" s="57"/>
      <c r="L52" s="57"/>
      <c r="M52" s="58">
        <f t="shared" si="7"/>
        <v>1500</v>
      </c>
      <c r="N52" s="57"/>
    </row>
    <row r="53">
      <c r="B53" s="98"/>
      <c r="C53" s="99" t="s">
        <v>16</v>
      </c>
      <c r="D53" s="95">
        <v>2555.0</v>
      </c>
      <c r="E53" s="97" t="s">
        <v>79</v>
      </c>
      <c r="F53" s="98"/>
      <c r="G53" s="98"/>
      <c r="H53" s="98"/>
      <c r="I53" s="98"/>
      <c r="J53" s="98"/>
      <c r="K53" s="98"/>
      <c r="L53" s="98"/>
      <c r="M53" s="58">
        <f t="shared" si="7"/>
        <v>2555</v>
      </c>
      <c r="N53" s="98"/>
    </row>
    <row r="54">
      <c r="B54" s="98"/>
      <c r="C54" s="99"/>
      <c r="D54" s="95">
        <v>511.0</v>
      </c>
      <c r="E54" s="97" t="s">
        <v>80</v>
      </c>
      <c r="F54" s="98"/>
      <c r="G54" s="98"/>
      <c r="H54" s="98"/>
      <c r="I54" s="98"/>
      <c r="J54" s="98"/>
      <c r="K54" s="98"/>
      <c r="L54" s="98"/>
      <c r="M54" s="58">
        <f t="shared" si="7"/>
        <v>511</v>
      </c>
      <c r="N54" s="98"/>
    </row>
    <row r="55">
      <c r="B55" s="98"/>
      <c r="C55" s="99"/>
      <c r="D55" s="95">
        <v>393.0</v>
      </c>
      <c r="E55" s="97" t="s">
        <v>81</v>
      </c>
      <c r="F55" s="98"/>
      <c r="G55" s="98"/>
      <c r="H55" s="98"/>
      <c r="I55" s="98"/>
      <c r="J55" s="98"/>
      <c r="K55" s="98"/>
      <c r="L55" s="98"/>
      <c r="M55" s="58">
        <f t="shared" si="7"/>
        <v>393</v>
      </c>
      <c r="N55" s="98"/>
    </row>
    <row r="56">
      <c r="B56" s="98"/>
      <c r="C56" s="99"/>
      <c r="D56" s="95">
        <v>1298.0</v>
      </c>
      <c r="E56" s="97" t="s">
        <v>82</v>
      </c>
      <c r="F56" s="98"/>
      <c r="G56" s="98"/>
      <c r="H56" s="98"/>
      <c r="I56" s="98"/>
      <c r="J56" s="98"/>
      <c r="K56" s="98"/>
      <c r="L56" s="98"/>
      <c r="M56" s="58">
        <f t="shared" si="7"/>
        <v>1298</v>
      </c>
      <c r="N56" s="98"/>
    </row>
    <row r="57">
      <c r="B57" s="98"/>
      <c r="C57" s="99"/>
      <c r="D57" s="95">
        <v>223.5</v>
      </c>
      <c r="E57" s="97" t="s">
        <v>83</v>
      </c>
      <c r="F57" s="98"/>
      <c r="G57" s="98"/>
      <c r="H57" s="98"/>
      <c r="I57" s="98"/>
      <c r="J57" s="98"/>
      <c r="K57" s="98"/>
      <c r="L57" s="98"/>
      <c r="M57" s="58">
        <f t="shared" si="7"/>
        <v>223.5</v>
      </c>
      <c r="N57" s="98"/>
    </row>
    <row r="58">
      <c r="B58" s="98"/>
      <c r="C58" s="99"/>
      <c r="D58" s="95">
        <v>805000.0</v>
      </c>
      <c r="E58" s="97" t="s">
        <v>84</v>
      </c>
      <c r="F58" s="98"/>
      <c r="G58" s="98"/>
      <c r="H58" s="98"/>
      <c r="I58" s="98"/>
      <c r="J58" s="98"/>
      <c r="K58" s="58">
        <f>D58</f>
        <v>805000</v>
      </c>
      <c r="L58" s="98"/>
      <c r="N58" s="98"/>
    </row>
    <row r="59">
      <c r="B59" s="98"/>
      <c r="C59" s="99"/>
      <c r="D59" s="95">
        <v>5020.55</v>
      </c>
      <c r="E59" s="97" t="s">
        <v>141</v>
      </c>
      <c r="F59" s="98"/>
      <c r="G59" s="98"/>
      <c r="H59" s="98"/>
      <c r="I59" s="98"/>
      <c r="J59" s="98"/>
      <c r="K59" s="98"/>
      <c r="L59" s="98"/>
      <c r="M59" s="58">
        <f t="shared" ref="M59:M61" si="8">D59</f>
        <v>5020.55</v>
      </c>
      <c r="N59" s="98"/>
    </row>
    <row r="60">
      <c r="B60" s="98"/>
      <c r="C60" s="99"/>
      <c r="D60" s="95">
        <v>37276.0</v>
      </c>
      <c r="E60" s="97" t="s">
        <v>86</v>
      </c>
      <c r="F60" s="98"/>
      <c r="G60" s="98"/>
      <c r="H60" s="98"/>
      <c r="I60" s="98"/>
      <c r="J60" s="98"/>
      <c r="K60" s="98"/>
      <c r="L60" s="98"/>
      <c r="M60" s="58">
        <f t="shared" si="8"/>
        <v>37276</v>
      </c>
      <c r="N60" s="98"/>
    </row>
    <row r="61">
      <c r="B61" s="98"/>
      <c r="C61" s="99"/>
      <c r="D61" s="95">
        <v>200.0</v>
      </c>
      <c r="E61" s="97" t="s">
        <v>87</v>
      </c>
      <c r="F61" s="98"/>
      <c r="G61" s="98"/>
      <c r="H61" s="98"/>
      <c r="I61" s="98"/>
      <c r="J61" s="98"/>
      <c r="K61" s="98"/>
      <c r="L61" s="98"/>
      <c r="M61" s="58">
        <f t="shared" si="8"/>
        <v>200</v>
      </c>
      <c r="N61" s="98"/>
    </row>
    <row r="62">
      <c r="B62" s="98"/>
      <c r="C62" s="99"/>
      <c r="D62" s="95">
        <v>60000.0</v>
      </c>
      <c r="E62" s="97" t="s">
        <v>190</v>
      </c>
      <c r="F62" s="98"/>
      <c r="G62" s="98"/>
      <c r="H62" s="98"/>
      <c r="I62" s="98"/>
      <c r="J62" s="98"/>
      <c r="K62" s="58">
        <f>D62</f>
        <v>60000</v>
      </c>
      <c r="L62" s="98"/>
      <c r="N62" s="98"/>
    </row>
    <row r="63">
      <c r="B63" s="98"/>
      <c r="C63" s="99"/>
      <c r="D63" s="95">
        <v>9181.0</v>
      </c>
      <c r="E63" s="97" t="s">
        <v>157</v>
      </c>
      <c r="F63" s="98"/>
      <c r="G63" s="98"/>
      <c r="H63" s="98"/>
      <c r="I63" s="98"/>
      <c r="J63" s="98"/>
      <c r="K63" s="98"/>
      <c r="L63" s="98"/>
      <c r="M63" s="58">
        <f>D63</f>
        <v>9181</v>
      </c>
      <c r="N63" s="98"/>
    </row>
    <row r="64">
      <c r="B64" s="98"/>
      <c r="C64" s="99"/>
      <c r="D64" s="95">
        <v>400000.0</v>
      </c>
      <c r="E64" s="97" t="s">
        <v>90</v>
      </c>
      <c r="F64" s="98"/>
      <c r="G64" s="98"/>
      <c r="H64" s="98"/>
      <c r="I64" s="98"/>
      <c r="J64" s="98"/>
      <c r="K64" s="98"/>
      <c r="L64" s="58">
        <f>D64</f>
        <v>400000</v>
      </c>
      <c r="N64" s="98"/>
    </row>
    <row r="65">
      <c r="B65" s="98"/>
      <c r="C65" s="99"/>
      <c r="D65" s="98"/>
      <c r="E65" s="98"/>
      <c r="F65" s="98"/>
      <c r="G65" s="98"/>
      <c r="H65" s="98"/>
      <c r="I65" s="98"/>
      <c r="J65" s="98"/>
      <c r="K65" s="98"/>
      <c r="L65" s="98"/>
      <c r="M65" s="57" t="str">
        <f t="shared" ref="M65:M70" si="9">D65</f>
        <v/>
      </c>
      <c r="N65" s="98"/>
    </row>
    <row r="66" ht="21.0" customHeight="1">
      <c r="A66" s="55"/>
      <c r="B66" s="66"/>
      <c r="C66" s="96" t="s">
        <v>17</v>
      </c>
      <c r="D66" s="76">
        <v>1925.0</v>
      </c>
      <c r="E66" s="86" t="s">
        <v>79</v>
      </c>
      <c r="F66" s="57"/>
      <c r="G66" s="57"/>
      <c r="H66" s="57"/>
      <c r="I66" s="57"/>
      <c r="J66" s="57"/>
      <c r="K66" s="57"/>
      <c r="L66" s="57"/>
      <c r="M66" s="58">
        <f t="shared" si="9"/>
        <v>1925</v>
      </c>
      <c r="N66" s="57"/>
    </row>
    <row r="67" ht="21.0" customHeight="1">
      <c r="A67" s="55"/>
      <c r="B67" s="66"/>
      <c r="C67" s="96"/>
      <c r="D67" s="76">
        <v>385.0</v>
      </c>
      <c r="E67" s="39" t="s">
        <v>80</v>
      </c>
      <c r="F67" s="57"/>
      <c r="G67" s="57"/>
      <c r="H67" s="57"/>
      <c r="I67" s="57"/>
      <c r="J67" s="57"/>
      <c r="K67" s="57"/>
      <c r="L67" s="57"/>
      <c r="M67" s="58">
        <f t="shared" si="9"/>
        <v>385</v>
      </c>
      <c r="N67" s="57"/>
    </row>
    <row r="68" ht="21.0" customHeight="1">
      <c r="A68" s="55"/>
      <c r="B68" s="66"/>
      <c r="C68" s="96"/>
      <c r="D68" s="76">
        <v>306.0</v>
      </c>
      <c r="E68" s="86" t="s">
        <v>81</v>
      </c>
      <c r="F68" s="57"/>
      <c r="G68" s="57"/>
      <c r="H68" s="57"/>
      <c r="I68" s="57"/>
      <c r="J68" s="57"/>
      <c r="K68" s="57"/>
      <c r="L68" s="57"/>
      <c r="M68" s="58">
        <f t="shared" si="9"/>
        <v>306</v>
      </c>
      <c r="N68" s="57"/>
    </row>
    <row r="69" ht="21.0" customHeight="1">
      <c r="A69" s="55"/>
      <c r="B69" s="66"/>
      <c r="C69" s="96"/>
      <c r="D69" s="76">
        <v>1028.0</v>
      </c>
      <c r="E69" s="39" t="s">
        <v>82</v>
      </c>
      <c r="F69" s="57"/>
      <c r="G69" s="57"/>
      <c r="H69" s="57"/>
      <c r="I69" s="57"/>
      <c r="J69" s="57"/>
      <c r="K69" s="57"/>
      <c r="L69" s="57"/>
      <c r="M69" s="58">
        <f t="shared" si="9"/>
        <v>1028</v>
      </c>
      <c r="N69" s="57"/>
    </row>
    <row r="70" ht="21.0" customHeight="1">
      <c r="A70" s="55"/>
      <c r="B70" s="66"/>
      <c r="C70" s="96"/>
      <c r="D70" s="76">
        <v>244.2</v>
      </c>
      <c r="E70" s="86" t="s">
        <v>83</v>
      </c>
      <c r="F70" s="57"/>
      <c r="G70" s="57"/>
      <c r="H70" s="57"/>
      <c r="I70" s="57"/>
      <c r="J70" s="57"/>
      <c r="K70" s="57"/>
      <c r="L70" s="57"/>
      <c r="M70" s="58">
        <f t="shared" si="9"/>
        <v>244.2</v>
      </c>
      <c r="N70" s="57"/>
    </row>
    <row r="71" ht="21.0" customHeight="1">
      <c r="A71" s="55"/>
      <c r="B71" s="66"/>
      <c r="C71" s="96"/>
      <c r="D71" s="76">
        <v>584000.0</v>
      </c>
      <c r="E71" s="39" t="s">
        <v>84</v>
      </c>
      <c r="F71" s="57"/>
      <c r="G71" s="57"/>
      <c r="H71" s="57"/>
      <c r="I71" s="57"/>
      <c r="J71" s="57"/>
      <c r="K71" s="58">
        <f>D71</f>
        <v>584000</v>
      </c>
      <c r="L71" s="57"/>
      <c r="N71" s="57"/>
    </row>
    <row r="72" ht="21.0" customHeight="1">
      <c r="A72" s="55"/>
      <c r="B72" s="66"/>
      <c r="C72" s="96"/>
      <c r="D72" s="76">
        <v>5020.55</v>
      </c>
      <c r="E72" s="88" t="s">
        <v>141</v>
      </c>
      <c r="F72" s="57"/>
      <c r="G72" s="57"/>
      <c r="H72" s="57"/>
      <c r="I72" s="57"/>
      <c r="J72" s="57"/>
      <c r="K72" s="57"/>
      <c r="L72" s="57"/>
      <c r="M72" s="58">
        <f t="shared" ref="M72:M74" si="10">D72</f>
        <v>5020.55</v>
      </c>
      <c r="N72" s="57"/>
    </row>
    <row r="73" ht="21.0" customHeight="1">
      <c r="A73" s="55"/>
      <c r="B73" s="66"/>
      <c r="C73" s="96"/>
      <c r="D73" s="76">
        <v>15000.0</v>
      </c>
      <c r="E73" s="57" t="s">
        <v>86</v>
      </c>
      <c r="F73" s="57"/>
      <c r="G73" s="57"/>
      <c r="H73" s="57"/>
      <c r="I73" s="57"/>
      <c r="J73" s="57"/>
      <c r="K73" s="57"/>
      <c r="L73" s="57"/>
      <c r="M73" s="58">
        <f t="shared" si="10"/>
        <v>15000</v>
      </c>
      <c r="N73" s="57"/>
    </row>
    <row r="74" ht="21.0" customHeight="1">
      <c r="A74" s="55"/>
      <c r="B74" s="66"/>
      <c r="C74" s="96"/>
      <c r="D74" s="76">
        <v>150.0</v>
      </c>
      <c r="E74" s="57" t="s">
        <v>87</v>
      </c>
      <c r="F74" s="57"/>
      <c r="G74" s="57"/>
      <c r="H74" s="57"/>
      <c r="I74" s="57"/>
      <c r="J74" s="57"/>
      <c r="K74" s="57"/>
      <c r="L74" s="57"/>
      <c r="M74" s="58">
        <f t="shared" si="10"/>
        <v>150</v>
      </c>
      <c r="N74" s="57"/>
    </row>
    <row r="75" ht="21.0" customHeight="1">
      <c r="A75" s="55"/>
      <c r="B75" s="66"/>
      <c r="C75" s="96"/>
      <c r="D75" s="76">
        <v>45000.0</v>
      </c>
      <c r="E75" s="57" t="s">
        <v>190</v>
      </c>
      <c r="F75" s="57"/>
      <c r="G75" s="57"/>
      <c r="H75" s="57"/>
      <c r="I75" s="57"/>
      <c r="J75" s="57"/>
      <c r="K75" s="58">
        <f>D75</f>
        <v>45000</v>
      </c>
      <c r="L75" s="57"/>
      <c r="N75" s="57"/>
    </row>
    <row r="76" ht="21.0" customHeight="1">
      <c r="A76" s="55"/>
      <c r="B76" s="66"/>
      <c r="C76" s="96"/>
      <c r="D76" s="76">
        <v>300204.0</v>
      </c>
      <c r="E76" s="100" t="s">
        <v>193</v>
      </c>
      <c r="F76" s="57"/>
      <c r="G76" s="58">
        <f>D76</f>
        <v>300204</v>
      </c>
      <c r="H76" s="57"/>
      <c r="I76" s="57"/>
      <c r="J76" s="57"/>
      <c r="K76" s="57"/>
      <c r="L76" s="57"/>
      <c r="N76" s="57"/>
    </row>
    <row r="77" ht="21.0" customHeight="1">
      <c r="A77" s="55"/>
      <c r="B77" s="66"/>
      <c r="C77" s="96"/>
      <c r="D77" s="26">
        <v>300.0</v>
      </c>
      <c r="E77" s="96" t="s">
        <v>102</v>
      </c>
      <c r="F77" s="101"/>
      <c r="G77" s="57"/>
      <c r="H77" s="57"/>
      <c r="I77" s="57"/>
      <c r="J77" s="57"/>
      <c r="K77" s="57"/>
      <c r="L77" s="57"/>
      <c r="M77" s="58">
        <f t="shared" ref="M77:M84" si="11">D77</f>
        <v>300</v>
      </c>
      <c r="N77" s="57"/>
    </row>
    <row r="78" ht="21.0" customHeight="1">
      <c r="A78" s="55"/>
      <c r="B78" s="66"/>
      <c r="C78" s="96"/>
      <c r="D78" s="95">
        <v>150.0</v>
      </c>
      <c r="E78" s="97" t="s">
        <v>96</v>
      </c>
      <c r="F78" s="102"/>
      <c r="G78" s="57"/>
      <c r="H78" s="57"/>
      <c r="I78" s="57"/>
      <c r="J78" s="57"/>
      <c r="K78" s="57"/>
      <c r="L78" s="57"/>
      <c r="M78" s="58">
        <f t="shared" si="11"/>
        <v>150</v>
      </c>
      <c r="N78" s="57"/>
    </row>
    <row r="79" ht="21.0" customHeight="1">
      <c r="A79" s="55"/>
      <c r="B79" s="66"/>
      <c r="C79" s="96"/>
      <c r="D79" s="76">
        <v>2000.0</v>
      </c>
      <c r="E79" s="100" t="s">
        <v>194</v>
      </c>
      <c r="F79" s="102"/>
      <c r="G79" s="57"/>
      <c r="H79" s="57"/>
      <c r="I79" s="57"/>
      <c r="J79" s="57"/>
      <c r="K79" s="57"/>
      <c r="L79" s="57"/>
      <c r="M79" s="58">
        <f t="shared" si="11"/>
        <v>2000</v>
      </c>
      <c r="N79" s="57"/>
    </row>
    <row r="80" ht="21.0" customHeight="1">
      <c r="A80" s="55"/>
      <c r="B80" s="66"/>
      <c r="C80" s="57" t="s">
        <v>18</v>
      </c>
      <c r="D80" s="58">
        <v>1995.0</v>
      </c>
      <c r="E80" s="86" t="s">
        <v>79</v>
      </c>
      <c r="F80" s="57"/>
      <c r="G80" s="57"/>
      <c r="H80" s="57"/>
      <c r="I80" s="57"/>
      <c r="J80" s="57"/>
      <c r="K80" s="57"/>
      <c r="L80" s="57"/>
      <c r="M80" s="58">
        <f t="shared" si="11"/>
        <v>1995</v>
      </c>
      <c r="N80" s="57"/>
    </row>
    <row r="81" ht="21.0" customHeight="1">
      <c r="A81" s="55"/>
      <c r="B81" s="66"/>
      <c r="C81" s="57"/>
      <c r="D81" s="57">
        <v>399.0</v>
      </c>
      <c r="E81" s="39" t="s">
        <v>80</v>
      </c>
      <c r="F81" s="57"/>
      <c r="G81" s="57"/>
      <c r="H81" s="57"/>
      <c r="I81" s="57"/>
      <c r="J81" s="57"/>
      <c r="K81" s="57"/>
      <c r="L81" s="57"/>
      <c r="M81" s="57">
        <f t="shared" si="11"/>
        <v>399</v>
      </c>
      <c r="N81" s="57"/>
    </row>
    <row r="82" ht="21.0" customHeight="1">
      <c r="A82" s="55"/>
      <c r="B82" s="66"/>
      <c r="C82" s="57"/>
      <c r="D82" s="57">
        <v>253.0</v>
      </c>
      <c r="E82" s="86" t="s">
        <v>81</v>
      </c>
      <c r="F82" s="57"/>
      <c r="G82" s="57"/>
      <c r="H82" s="57"/>
      <c r="I82" s="57"/>
      <c r="J82" s="57"/>
      <c r="K82" s="57"/>
      <c r="L82" s="57"/>
      <c r="M82" s="57">
        <f t="shared" si="11"/>
        <v>253</v>
      </c>
      <c r="N82" s="57"/>
    </row>
    <row r="83" ht="21.0" customHeight="1">
      <c r="A83" s="55"/>
      <c r="B83" s="66"/>
      <c r="C83" s="57"/>
      <c r="D83" s="57">
        <v>782.0</v>
      </c>
      <c r="E83" s="39" t="s">
        <v>82</v>
      </c>
      <c r="F83" s="57"/>
      <c r="G83" s="57"/>
      <c r="H83" s="57"/>
      <c r="I83" s="57"/>
      <c r="J83" s="57"/>
      <c r="K83" s="57"/>
      <c r="L83" s="57"/>
      <c r="M83" s="57">
        <f t="shared" si="11"/>
        <v>782</v>
      </c>
      <c r="N83" s="57"/>
    </row>
    <row r="84" ht="21.0" customHeight="1">
      <c r="A84" s="55"/>
      <c r="B84" s="66"/>
      <c r="C84" s="57"/>
      <c r="D84" s="57">
        <v>139.8</v>
      </c>
      <c r="E84" s="86" t="s">
        <v>83</v>
      </c>
      <c r="F84" s="57"/>
      <c r="G84" s="57"/>
      <c r="H84" s="57"/>
      <c r="I84" s="57"/>
      <c r="J84" s="57"/>
      <c r="K84" s="57"/>
      <c r="L84" s="57"/>
      <c r="M84" s="57">
        <f t="shared" si="11"/>
        <v>139.8</v>
      </c>
      <c r="N84" s="57"/>
    </row>
    <row r="85" ht="21.0" customHeight="1">
      <c r="A85" s="55"/>
      <c r="B85" s="66"/>
      <c r="C85" s="57"/>
      <c r="D85" s="58">
        <v>510000.0</v>
      </c>
      <c r="E85" s="39" t="s">
        <v>84</v>
      </c>
      <c r="F85" s="57"/>
      <c r="G85" s="57"/>
      <c r="H85" s="57"/>
      <c r="I85" s="57"/>
      <c r="J85" s="57"/>
      <c r="K85" s="58">
        <f>D85</f>
        <v>510000</v>
      </c>
      <c r="L85" s="57"/>
      <c r="N85" s="57"/>
    </row>
    <row r="86" ht="21.0" customHeight="1">
      <c r="A86" s="55"/>
      <c r="B86" s="66"/>
      <c r="C86" s="57"/>
      <c r="D86" s="94">
        <v>5020.55</v>
      </c>
      <c r="E86" s="88" t="s">
        <v>141</v>
      </c>
      <c r="F86" s="57"/>
      <c r="G86" s="57"/>
      <c r="H86" s="57"/>
      <c r="I86" s="57"/>
      <c r="J86" s="57"/>
      <c r="K86" s="57"/>
      <c r="L86" s="57"/>
      <c r="M86" s="94">
        <f t="shared" ref="M86:M88" si="12">D86</f>
        <v>5020.55</v>
      </c>
      <c r="N86" s="57"/>
    </row>
    <row r="87" ht="21.0" customHeight="1">
      <c r="A87" s="55"/>
      <c r="B87" s="66"/>
      <c r="C87" s="57"/>
      <c r="D87" s="58">
        <v>35756.0</v>
      </c>
      <c r="E87" s="57" t="s">
        <v>86</v>
      </c>
      <c r="F87" s="57"/>
      <c r="G87" s="57"/>
      <c r="H87" s="57"/>
      <c r="I87" s="57"/>
      <c r="J87" s="57"/>
      <c r="K87" s="57"/>
      <c r="L87" s="57"/>
      <c r="M87" s="58">
        <f t="shared" si="12"/>
        <v>35756</v>
      </c>
      <c r="N87" s="57"/>
    </row>
    <row r="88" ht="21.0" customHeight="1">
      <c r="A88" s="55"/>
      <c r="B88" s="66"/>
      <c r="C88" s="57"/>
      <c r="D88" s="57">
        <v>300.0</v>
      </c>
      <c r="E88" s="57" t="s">
        <v>87</v>
      </c>
      <c r="F88" s="57"/>
      <c r="G88" s="57"/>
      <c r="H88" s="57"/>
      <c r="I88" s="57"/>
      <c r="J88" s="57"/>
      <c r="K88" s="57"/>
      <c r="L88" s="57"/>
      <c r="M88" s="57">
        <f t="shared" si="12"/>
        <v>300</v>
      </c>
      <c r="N88" s="57"/>
    </row>
    <row r="89" ht="21.0" customHeight="1">
      <c r="A89" s="55"/>
      <c r="B89" s="66"/>
      <c r="C89" s="57"/>
      <c r="D89" s="58">
        <v>75000.0</v>
      </c>
      <c r="E89" s="57" t="s">
        <v>190</v>
      </c>
      <c r="F89" s="57"/>
      <c r="G89" s="57"/>
      <c r="H89" s="57"/>
      <c r="I89" s="57"/>
      <c r="J89" s="57"/>
      <c r="K89" s="58">
        <f>D89</f>
        <v>75000</v>
      </c>
      <c r="L89" s="57"/>
      <c r="N89" s="57"/>
    </row>
    <row r="90" ht="21.0" customHeight="1">
      <c r="A90" s="55"/>
      <c r="B90" s="66"/>
      <c r="C90" s="57" t="s">
        <v>19</v>
      </c>
      <c r="D90" s="76">
        <v>2905.0</v>
      </c>
      <c r="E90" s="86" t="s">
        <v>79</v>
      </c>
      <c r="F90" s="57"/>
      <c r="G90" s="57"/>
      <c r="H90" s="57"/>
      <c r="I90" s="57"/>
      <c r="J90" s="57"/>
      <c r="K90" s="57"/>
      <c r="L90" s="57"/>
      <c r="M90" s="58">
        <f t="shared" ref="M90:M94" si="13">D90</f>
        <v>2905</v>
      </c>
      <c r="N90" s="57"/>
    </row>
    <row r="91" ht="21.0" customHeight="1">
      <c r="A91" s="55"/>
      <c r="B91" s="66"/>
      <c r="C91" s="57"/>
      <c r="D91" s="72">
        <v>581.0</v>
      </c>
      <c r="E91" s="39" t="s">
        <v>80</v>
      </c>
      <c r="F91" s="57"/>
      <c r="G91" s="57"/>
      <c r="H91" s="57"/>
      <c r="I91" s="57"/>
      <c r="J91" s="57"/>
      <c r="K91" s="57"/>
      <c r="L91" s="57"/>
      <c r="M91" s="57">
        <f t="shared" si="13"/>
        <v>581</v>
      </c>
      <c r="N91" s="57"/>
    </row>
    <row r="92" ht="21.0" customHeight="1">
      <c r="A92" s="55"/>
      <c r="B92" s="66"/>
      <c r="C92" s="57"/>
      <c r="D92" s="57">
        <v>488.0</v>
      </c>
      <c r="E92" s="86" t="s">
        <v>81</v>
      </c>
      <c r="F92" s="57"/>
      <c r="G92" s="57"/>
      <c r="H92" s="57"/>
      <c r="I92" s="57"/>
      <c r="J92" s="57"/>
      <c r="K92" s="57"/>
      <c r="L92" s="57"/>
      <c r="M92" s="57">
        <f t="shared" si="13"/>
        <v>488</v>
      </c>
      <c r="N92" s="57"/>
    </row>
    <row r="93" ht="21.0" customHeight="1">
      <c r="A93" s="55"/>
      <c r="B93" s="66"/>
      <c r="C93" s="57"/>
      <c r="D93" s="58">
        <v>1588.0</v>
      </c>
      <c r="E93" s="39" t="s">
        <v>82</v>
      </c>
      <c r="F93" s="57"/>
      <c r="G93" s="57"/>
      <c r="H93" s="57"/>
      <c r="I93" s="57"/>
      <c r="J93" s="57"/>
      <c r="K93" s="57"/>
      <c r="L93" s="57"/>
      <c r="M93" s="58">
        <f t="shared" si="13"/>
        <v>1588</v>
      </c>
      <c r="N93" s="57"/>
    </row>
    <row r="94" ht="21.0" customHeight="1">
      <c r="A94" s="55"/>
      <c r="B94" s="66"/>
      <c r="C94" s="57"/>
      <c r="D94" s="57">
        <v>301.8</v>
      </c>
      <c r="E94" s="86" t="s">
        <v>83</v>
      </c>
      <c r="F94" s="57"/>
      <c r="G94" s="57"/>
      <c r="H94" s="57"/>
      <c r="I94" s="57"/>
      <c r="J94" s="57"/>
      <c r="K94" s="57"/>
      <c r="L94" s="57"/>
      <c r="M94" s="57">
        <f t="shared" si="13"/>
        <v>301.8</v>
      </c>
      <c r="N94" s="57"/>
    </row>
    <row r="95" ht="21.0" customHeight="1">
      <c r="A95" s="55"/>
      <c r="B95" s="66"/>
      <c r="C95" s="57"/>
      <c r="D95" s="58">
        <v>791000.0</v>
      </c>
      <c r="E95" s="39" t="s">
        <v>84</v>
      </c>
      <c r="F95" s="57"/>
      <c r="G95" s="57"/>
      <c r="H95" s="57"/>
      <c r="I95" s="57"/>
      <c r="J95" s="57"/>
      <c r="K95" s="58">
        <f>D95</f>
        <v>791000</v>
      </c>
      <c r="L95" s="57"/>
      <c r="N95" s="57"/>
    </row>
    <row r="96" ht="21.0" customHeight="1">
      <c r="A96" s="55"/>
      <c r="B96" s="66"/>
      <c r="C96" s="57"/>
      <c r="D96" s="95">
        <v>5020.25</v>
      </c>
      <c r="E96" s="88" t="s">
        <v>141</v>
      </c>
      <c r="F96" s="57"/>
      <c r="G96" s="57"/>
      <c r="H96" s="57"/>
      <c r="I96" s="57"/>
      <c r="J96" s="57"/>
      <c r="K96" s="57"/>
      <c r="L96" s="57"/>
      <c r="M96" s="58">
        <f t="shared" ref="M96:M105" si="14">D96</f>
        <v>5020.25</v>
      </c>
      <c r="N96" s="57"/>
    </row>
    <row r="97" ht="21.0" customHeight="1">
      <c r="A97" s="55"/>
      <c r="B97" s="66"/>
      <c r="C97" s="57"/>
      <c r="D97" s="57">
        <v>15000.0</v>
      </c>
      <c r="E97" s="57" t="s">
        <v>86</v>
      </c>
      <c r="F97" s="57"/>
      <c r="G97" s="57"/>
      <c r="H97" s="57"/>
      <c r="I97" s="57"/>
      <c r="J97" s="57"/>
      <c r="K97" s="57"/>
      <c r="L97" s="57"/>
      <c r="M97" s="57">
        <f t="shared" si="14"/>
        <v>15000</v>
      </c>
      <c r="N97" s="57"/>
    </row>
    <row r="98" ht="21.0" customHeight="1">
      <c r="A98" s="55"/>
      <c r="B98" s="66"/>
      <c r="C98" s="57"/>
      <c r="D98" s="57">
        <v>150.0</v>
      </c>
      <c r="E98" s="57" t="s">
        <v>87</v>
      </c>
      <c r="F98" s="57"/>
      <c r="G98" s="57"/>
      <c r="H98" s="57"/>
      <c r="I98" s="57"/>
      <c r="J98" s="57"/>
      <c r="K98" s="57"/>
      <c r="L98" s="57"/>
      <c r="M98" s="57">
        <f t="shared" si="14"/>
        <v>150</v>
      </c>
      <c r="N98" s="57"/>
    </row>
    <row r="99" ht="21.0" customHeight="1">
      <c r="A99" s="55"/>
      <c r="B99" s="66"/>
      <c r="C99" s="57"/>
      <c r="D99" s="57">
        <v>150.0</v>
      </c>
      <c r="E99" s="57" t="s">
        <v>102</v>
      </c>
      <c r="F99" s="57"/>
      <c r="G99" s="57"/>
      <c r="H99" s="57"/>
      <c r="I99" s="57"/>
      <c r="J99" s="57"/>
      <c r="K99" s="57"/>
      <c r="L99" s="57"/>
      <c r="M99" s="57">
        <f t="shared" si="14"/>
        <v>150</v>
      </c>
      <c r="N99" s="57"/>
    </row>
    <row r="100" ht="21.0" customHeight="1">
      <c r="A100" s="55"/>
      <c r="B100" s="66"/>
      <c r="C100" s="57"/>
      <c r="D100" s="57">
        <v>150.0</v>
      </c>
      <c r="E100" s="57" t="s">
        <v>96</v>
      </c>
      <c r="F100" s="57"/>
      <c r="G100" s="57"/>
      <c r="H100" s="57"/>
      <c r="I100" s="57"/>
      <c r="J100" s="57"/>
      <c r="K100" s="57"/>
      <c r="L100" s="57"/>
      <c r="M100" s="57">
        <f t="shared" si="14"/>
        <v>150</v>
      </c>
      <c r="N100" s="57"/>
    </row>
    <row r="101" ht="19.5" customHeight="1">
      <c r="A101" s="55"/>
      <c r="B101" s="66"/>
      <c r="C101" s="57" t="s">
        <v>20</v>
      </c>
      <c r="D101" s="58">
        <v>2030.0</v>
      </c>
      <c r="E101" s="86" t="s">
        <v>79</v>
      </c>
      <c r="F101" s="57"/>
      <c r="G101" s="57"/>
      <c r="H101" s="57"/>
      <c r="I101" s="57"/>
      <c r="J101" s="57"/>
      <c r="K101" s="57"/>
      <c r="L101" s="57"/>
      <c r="M101" s="58">
        <f t="shared" si="14"/>
        <v>2030</v>
      </c>
      <c r="N101" s="57"/>
    </row>
    <row r="102" ht="19.5" customHeight="1">
      <c r="A102" s="55"/>
      <c r="B102" s="66"/>
      <c r="C102" s="57"/>
      <c r="D102" s="57">
        <v>406.0</v>
      </c>
      <c r="E102" s="39" t="s">
        <v>80</v>
      </c>
      <c r="F102" s="57"/>
      <c r="G102" s="57"/>
      <c r="H102" s="57"/>
      <c r="I102" s="57"/>
      <c r="J102" s="57"/>
      <c r="K102" s="57"/>
      <c r="L102" s="57"/>
      <c r="M102" s="57">
        <f t="shared" si="14"/>
        <v>406</v>
      </c>
      <c r="N102" s="57"/>
    </row>
    <row r="103" ht="19.5" customHeight="1">
      <c r="A103" s="55"/>
      <c r="B103" s="66"/>
      <c r="C103" s="57"/>
      <c r="D103" s="57">
        <v>518.0</v>
      </c>
      <c r="E103" s="86" t="s">
        <v>81</v>
      </c>
      <c r="F103" s="57"/>
      <c r="G103" s="57"/>
      <c r="H103" s="57"/>
      <c r="I103" s="57"/>
      <c r="J103" s="57"/>
      <c r="K103" s="57"/>
      <c r="L103" s="57"/>
      <c r="M103" s="57">
        <f t="shared" si="14"/>
        <v>518</v>
      </c>
      <c r="N103" s="57"/>
    </row>
    <row r="104" ht="19.5" customHeight="1">
      <c r="A104" s="55"/>
      <c r="B104" s="66"/>
      <c r="C104" s="57"/>
      <c r="D104" s="58">
        <v>1634.0</v>
      </c>
      <c r="E104" s="39" t="s">
        <v>82</v>
      </c>
      <c r="F104" s="57"/>
      <c r="G104" s="57"/>
      <c r="H104" s="57"/>
      <c r="I104" s="57"/>
      <c r="J104" s="57"/>
      <c r="K104" s="57"/>
      <c r="L104" s="57"/>
      <c r="M104" s="58">
        <f t="shared" si="14"/>
        <v>1634</v>
      </c>
      <c r="N104" s="57"/>
    </row>
    <row r="105" ht="19.5" customHeight="1">
      <c r="A105" s="55"/>
      <c r="B105" s="66"/>
      <c r="C105" s="57"/>
      <c r="D105" s="57">
        <v>246.6</v>
      </c>
      <c r="E105" s="86" t="s">
        <v>83</v>
      </c>
      <c r="F105" s="57"/>
      <c r="G105" s="57"/>
      <c r="H105" s="57"/>
      <c r="I105" s="57"/>
      <c r="J105" s="57"/>
      <c r="K105" s="57"/>
      <c r="L105" s="57"/>
      <c r="M105" s="57">
        <f t="shared" si="14"/>
        <v>246.6</v>
      </c>
      <c r="N105" s="57"/>
    </row>
    <row r="106" ht="19.5" customHeight="1">
      <c r="A106" s="55"/>
      <c r="B106" s="66"/>
      <c r="C106" s="57"/>
      <c r="D106" s="58">
        <v>1032000.0</v>
      </c>
      <c r="E106" s="39" t="s">
        <v>84</v>
      </c>
      <c r="F106" s="57"/>
      <c r="G106" s="57"/>
      <c r="H106" s="57"/>
      <c r="I106" s="57"/>
      <c r="J106" s="57"/>
      <c r="K106" s="58">
        <f>D106</f>
        <v>1032000</v>
      </c>
      <c r="L106" s="57"/>
      <c r="N106" s="57"/>
    </row>
    <row r="107" ht="19.5" customHeight="1">
      <c r="A107" s="55"/>
      <c r="B107" s="66"/>
      <c r="C107" s="57"/>
      <c r="D107" s="94">
        <v>5020.55</v>
      </c>
      <c r="E107" s="88" t="s">
        <v>141</v>
      </c>
      <c r="F107" s="57"/>
      <c r="G107" s="57"/>
      <c r="H107" s="57"/>
      <c r="I107" s="57"/>
      <c r="J107" s="57"/>
      <c r="K107" s="57"/>
      <c r="L107" s="57"/>
      <c r="M107" s="94">
        <f t="shared" ref="M107:M109" si="15">D107</f>
        <v>5020.55</v>
      </c>
      <c r="N107" s="57"/>
    </row>
    <row r="108" ht="19.5" customHeight="1">
      <c r="A108" s="55"/>
      <c r="B108" s="66"/>
      <c r="C108" s="57"/>
      <c r="D108" s="58">
        <v>35276.0</v>
      </c>
      <c r="E108" s="57" t="s">
        <v>86</v>
      </c>
      <c r="F108" s="57"/>
      <c r="G108" s="57"/>
      <c r="H108" s="57"/>
      <c r="I108" s="57"/>
      <c r="J108" s="57"/>
      <c r="K108" s="57"/>
      <c r="L108" s="57"/>
      <c r="M108" s="58">
        <f t="shared" si="15"/>
        <v>35276</v>
      </c>
      <c r="N108" s="57"/>
    </row>
    <row r="109" ht="19.5" customHeight="1">
      <c r="A109" s="55"/>
      <c r="B109" s="66"/>
      <c r="C109" s="57"/>
      <c r="D109" s="57">
        <v>300.0</v>
      </c>
      <c r="E109" s="57" t="s">
        <v>87</v>
      </c>
      <c r="F109" s="57"/>
      <c r="G109" s="57"/>
      <c r="H109" s="57"/>
      <c r="I109" s="57"/>
      <c r="J109" s="57"/>
      <c r="K109" s="57"/>
      <c r="L109" s="57"/>
      <c r="M109" s="57">
        <f t="shared" si="15"/>
        <v>300</v>
      </c>
      <c r="N109" s="57"/>
    </row>
    <row r="110" ht="19.5" customHeight="1">
      <c r="A110" s="55"/>
      <c r="B110" s="66"/>
      <c r="C110" s="57"/>
      <c r="D110" s="58">
        <v>250000.0</v>
      </c>
      <c r="E110" s="57" t="s">
        <v>90</v>
      </c>
      <c r="F110" s="57"/>
      <c r="G110" s="57"/>
      <c r="H110" s="57"/>
      <c r="I110" s="57"/>
      <c r="J110" s="57"/>
      <c r="K110" s="57"/>
      <c r="L110" s="58">
        <f>D110</f>
        <v>250000</v>
      </c>
      <c r="N110" s="57"/>
    </row>
    <row r="111" ht="19.5" customHeight="1">
      <c r="A111" s="55"/>
      <c r="B111" s="66"/>
      <c r="C111" s="57"/>
      <c r="D111" s="58">
        <v>25000.0</v>
      </c>
      <c r="E111" s="57" t="s">
        <v>190</v>
      </c>
      <c r="F111" s="57"/>
      <c r="G111" s="57"/>
      <c r="H111" s="57"/>
      <c r="I111" s="57"/>
      <c r="J111" s="57"/>
      <c r="K111" s="58">
        <f>D111</f>
        <v>25000</v>
      </c>
      <c r="L111" s="57"/>
      <c r="N111" s="57"/>
    </row>
    <row r="112" ht="19.5" customHeight="1">
      <c r="A112" s="55"/>
      <c r="B112" s="66"/>
      <c r="C112" s="57" t="s">
        <v>21</v>
      </c>
      <c r="D112" s="58">
        <v>2205.0</v>
      </c>
      <c r="E112" s="86" t="s">
        <v>79</v>
      </c>
      <c r="F112" s="57"/>
      <c r="G112" s="57"/>
      <c r="H112" s="57"/>
      <c r="I112" s="57"/>
      <c r="J112" s="57"/>
      <c r="K112" s="57"/>
      <c r="L112" s="57"/>
      <c r="M112" s="58">
        <f t="shared" ref="M112:M116" si="16">D112</f>
        <v>2205</v>
      </c>
      <c r="N112" s="57"/>
    </row>
    <row r="113" ht="19.5" customHeight="1">
      <c r="A113" s="55"/>
      <c r="B113" s="66"/>
      <c r="C113" s="57"/>
      <c r="D113" s="57">
        <v>441.0</v>
      </c>
      <c r="E113" s="39" t="s">
        <v>80</v>
      </c>
      <c r="F113" s="57"/>
      <c r="G113" s="57"/>
      <c r="H113" s="57"/>
      <c r="I113" s="57"/>
      <c r="J113" s="57"/>
      <c r="K113" s="57"/>
      <c r="L113" s="57"/>
      <c r="M113" s="57">
        <f t="shared" si="16"/>
        <v>441</v>
      </c>
      <c r="N113" s="57"/>
    </row>
    <row r="114" ht="19.5" customHeight="1">
      <c r="A114" s="55"/>
      <c r="B114" s="66"/>
      <c r="C114" s="57"/>
      <c r="D114" s="57">
        <v>418.0</v>
      </c>
      <c r="E114" s="86" t="s">
        <v>81</v>
      </c>
      <c r="F114" s="57"/>
      <c r="G114" s="57"/>
      <c r="H114" s="57"/>
      <c r="I114" s="57"/>
      <c r="J114" s="57"/>
      <c r="K114" s="57"/>
      <c r="L114" s="57"/>
      <c r="M114" s="57">
        <f t="shared" si="16"/>
        <v>418</v>
      </c>
      <c r="N114" s="57"/>
    </row>
    <row r="115" ht="19.5" customHeight="1">
      <c r="A115" s="55"/>
      <c r="B115" s="66"/>
      <c r="C115" s="57"/>
      <c r="D115" s="58">
        <v>1370.0</v>
      </c>
      <c r="E115" s="39" t="s">
        <v>82</v>
      </c>
      <c r="F115" s="57"/>
      <c r="G115" s="57"/>
      <c r="H115" s="57"/>
      <c r="I115" s="57"/>
      <c r="J115" s="57"/>
      <c r="K115" s="57"/>
      <c r="L115" s="57"/>
      <c r="M115" s="58">
        <f t="shared" si="16"/>
        <v>1370</v>
      </c>
      <c r="N115" s="57"/>
    </row>
    <row r="116" ht="19.5" customHeight="1">
      <c r="A116" s="55"/>
      <c r="B116" s="66"/>
      <c r="C116" s="57"/>
      <c r="D116" s="57">
        <v>205.5</v>
      </c>
      <c r="E116" s="86" t="s">
        <v>83</v>
      </c>
      <c r="F116" s="57"/>
      <c r="G116" s="57"/>
      <c r="H116" s="57"/>
      <c r="I116" s="57"/>
      <c r="J116" s="57"/>
      <c r="K116" s="57"/>
      <c r="L116" s="57"/>
      <c r="M116" s="57">
        <f t="shared" si="16"/>
        <v>205.5</v>
      </c>
      <c r="N116" s="57"/>
    </row>
    <row r="117" ht="19.5" customHeight="1">
      <c r="A117" s="55"/>
      <c r="B117" s="66"/>
      <c r="C117" s="57"/>
      <c r="D117" s="58">
        <v>722964.0</v>
      </c>
      <c r="E117" s="39" t="s">
        <v>84</v>
      </c>
      <c r="F117" s="57"/>
      <c r="G117" s="57"/>
      <c r="H117" s="57"/>
      <c r="I117" s="57"/>
      <c r="J117" s="57"/>
      <c r="K117" s="58">
        <f>D117</f>
        <v>722964</v>
      </c>
      <c r="L117" s="57"/>
      <c r="N117" s="57"/>
    </row>
    <row r="118" ht="19.5" customHeight="1">
      <c r="A118" s="55"/>
      <c r="B118" s="66"/>
      <c r="C118" s="57"/>
      <c r="D118" s="58">
        <v>5020.55</v>
      </c>
      <c r="E118" s="88" t="s">
        <v>141</v>
      </c>
      <c r="F118" s="57"/>
      <c r="G118" s="57"/>
      <c r="H118" s="57"/>
      <c r="I118" s="57"/>
      <c r="J118" s="57"/>
      <c r="K118" s="57"/>
      <c r="L118" s="57"/>
      <c r="M118" s="58">
        <f t="shared" ref="M118:M121" si="17">D118</f>
        <v>5020.55</v>
      </c>
      <c r="N118" s="57"/>
    </row>
    <row r="119" ht="19.5" customHeight="1">
      <c r="A119" s="55"/>
      <c r="B119" s="66"/>
      <c r="C119" s="57"/>
      <c r="D119" s="58">
        <v>35276.0</v>
      </c>
      <c r="E119" s="57" t="s">
        <v>86</v>
      </c>
      <c r="F119" s="57"/>
      <c r="G119" s="57"/>
      <c r="H119" s="57"/>
      <c r="I119" s="57"/>
      <c r="J119" s="57"/>
      <c r="K119" s="57"/>
      <c r="L119" s="57"/>
      <c r="M119" s="58">
        <f t="shared" si="17"/>
        <v>35276</v>
      </c>
      <c r="N119" s="57"/>
    </row>
    <row r="120" ht="19.5" customHeight="1">
      <c r="A120" s="55"/>
      <c r="B120" s="66"/>
      <c r="C120" s="57"/>
      <c r="D120" s="57">
        <v>300.0</v>
      </c>
      <c r="E120" s="57" t="s">
        <v>87</v>
      </c>
      <c r="F120" s="57"/>
      <c r="G120" s="57"/>
      <c r="H120" s="57"/>
      <c r="I120" s="57"/>
      <c r="J120" s="57"/>
      <c r="K120" s="57"/>
      <c r="L120" s="57"/>
      <c r="M120" s="57">
        <f t="shared" si="17"/>
        <v>300</v>
      </c>
      <c r="N120" s="57"/>
    </row>
    <row r="121" ht="19.5" customHeight="1">
      <c r="A121" s="55"/>
      <c r="B121" s="66"/>
      <c r="C121" s="57"/>
      <c r="D121" s="58">
        <v>1800.0</v>
      </c>
      <c r="E121" s="57" t="s">
        <v>157</v>
      </c>
      <c r="F121" s="57"/>
      <c r="G121" s="57"/>
      <c r="H121" s="57"/>
      <c r="I121" s="57"/>
      <c r="J121" s="57"/>
      <c r="K121" s="57"/>
      <c r="L121" s="57"/>
      <c r="M121" s="58">
        <f t="shared" si="17"/>
        <v>1800</v>
      </c>
      <c r="N121" s="57"/>
    </row>
    <row r="122" ht="19.5" customHeight="1">
      <c r="A122" s="55"/>
      <c r="B122" s="66"/>
      <c r="C122" s="57"/>
      <c r="D122" s="58">
        <v>350000.0</v>
      </c>
      <c r="E122" s="57" t="s">
        <v>90</v>
      </c>
      <c r="F122" s="57"/>
      <c r="G122" s="57"/>
      <c r="H122" s="57"/>
      <c r="I122" s="57"/>
      <c r="J122" s="57"/>
      <c r="K122" s="57"/>
      <c r="L122" s="58">
        <f>D122</f>
        <v>350000</v>
      </c>
      <c r="N122" s="57"/>
    </row>
    <row r="123" ht="19.5" customHeight="1">
      <c r="A123" s="55"/>
      <c r="B123" s="66"/>
      <c r="C123" s="57"/>
      <c r="D123" s="58">
        <v>20000.0</v>
      </c>
      <c r="E123" s="57" t="s">
        <v>190</v>
      </c>
      <c r="F123" s="57"/>
      <c r="G123" s="57"/>
      <c r="H123" s="57"/>
      <c r="I123" s="57"/>
      <c r="J123" s="57"/>
      <c r="K123" s="58">
        <f>D123</f>
        <v>20000</v>
      </c>
      <c r="L123" s="57"/>
      <c r="N123" s="57"/>
    </row>
    <row r="124" ht="19.5" customHeight="1">
      <c r="A124" s="55"/>
      <c r="B124" s="66"/>
      <c r="C124" s="57" t="s">
        <v>22</v>
      </c>
      <c r="D124" s="58">
        <v>2310.0</v>
      </c>
      <c r="E124" s="86" t="s">
        <v>79</v>
      </c>
      <c r="F124" s="57"/>
      <c r="G124" s="57"/>
      <c r="H124" s="57"/>
      <c r="I124" s="57"/>
      <c r="J124" s="57"/>
      <c r="K124" s="57"/>
      <c r="L124" s="57"/>
      <c r="M124" s="58">
        <f t="shared" ref="M124:M128" si="18">D124</f>
        <v>2310</v>
      </c>
      <c r="N124" s="57"/>
    </row>
    <row r="125" ht="19.5" customHeight="1">
      <c r="A125" s="55"/>
      <c r="B125" s="66"/>
      <c r="C125" s="57"/>
      <c r="D125" s="57">
        <v>462.0</v>
      </c>
      <c r="E125" s="39" t="s">
        <v>80</v>
      </c>
      <c r="F125" s="57"/>
      <c r="G125" s="57"/>
      <c r="H125" s="57"/>
      <c r="I125" s="57"/>
      <c r="J125" s="57"/>
      <c r="K125" s="57"/>
      <c r="L125" s="57"/>
      <c r="M125" s="57">
        <f t="shared" si="18"/>
        <v>462</v>
      </c>
      <c r="N125" s="57"/>
    </row>
    <row r="126" ht="19.5" customHeight="1">
      <c r="A126" s="55"/>
      <c r="B126" s="66"/>
      <c r="C126" s="57"/>
      <c r="D126" s="57">
        <v>609.0</v>
      </c>
      <c r="E126" s="86" t="s">
        <v>81</v>
      </c>
      <c r="F126" s="57"/>
      <c r="G126" s="57"/>
      <c r="H126" s="57"/>
      <c r="I126" s="57"/>
      <c r="J126" s="57"/>
      <c r="K126" s="57"/>
      <c r="L126" s="57"/>
      <c r="M126" s="57">
        <f t="shared" si="18"/>
        <v>609</v>
      </c>
      <c r="N126" s="57"/>
    </row>
    <row r="127" ht="19.5" customHeight="1">
      <c r="A127" s="55"/>
      <c r="B127" s="66"/>
      <c r="C127" s="57"/>
      <c r="D127" s="58">
        <v>1920.0</v>
      </c>
      <c r="E127" s="39" t="s">
        <v>82</v>
      </c>
      <c r="F127" s="57"/>
      <c r="G127" s="57"/>
      <c r="H127" s="57"/>
      <c r="I127" s="57"/>
      <c r="J127" s="57"/>
      <c r="K127" s="57"/>
      <c r="L127" s="57"/>
      <c r="M127" s="58">
        <f t="shared" si="18"/>
        <v>1920</v>
      </c>
      <c r="N127" s="57"/>
    </row>
    <row r="128" ht="19.5" customHeight="1">
      <c r="A128" s="55"/>
      <c r="B128" s="66"/>
      <c r="C128" s="57"/>
      <c r="D128" s="57">
        <v>355.6</v>
      </c>
      <c r="E128" s="86" t="s">
        <v>83</v>
      </c>
      <c r="F128" s="57"/>
      <c r="G128" s="57"/>
      <c r="H128" s="57"/>
      <c r="I128" s="57"/>
      <c r="J128" s="57"/>
      <c r="K128" s="57"/>
      <c r="L128" s="57"/>
      <c r="M128" s="57">
        <f t="shared" si="18"/>
        <v>355.6</v>
      </c>
      <c r="N128" s="57"/>
    </row>
    <row r="129" ht="19.5" customHeight="1">
      <c r="A129" s="55"/>
      <c r="B129" s="66"/>
      <c r="C129" s="57"/>
      <c r="D129" s="58">
        <v>780000.0</v>
      </c>
      <c r="E129" s="39" t="s">
        <v>84</v>
      </c>
      <c r="F129" s="57"/>
      <c r="G129" s="57"/>
      <c r="H129" s="57"/>
      <c r="I129" s="57"/>
      <c r="J129" s="57"/>
      <c r="K129" s="58">
        <f>D129</f>
        <v>780000</v>
      </c>
      <c r="L129" s="57"/>
      <c r="N129" s="57"/>
    </row>
    <row r="130" ht="19.5" customHeight="1">
      <c r="A130" s="55"/>
      <c r="B130" s="66"/>
      <c r="C130" s="57"/>
      <c r="D130" s="94">
        <v>5020.55</v>
      </c>
      <c r="E130" s="88" t="s">
        <v>141</v>
      </c>
      <c r="F130" s="57"/>
      <c r="G130" s="57"/>
      <c r="H130" s="57"/>
      <c r="I130" s="57"/>
      <c r="J130" s="57"/>
      <c r="K130" s="57"/>
      <c r="L130" s="57"/>
      <c r="M130" s="94">
        <f t="shared" ref="M130:M134" si="19">D130</f>
        <v>5020.55</v>
      </c>
      <c r="N130" s="57"/>
    </row>
    <row r="131" ht="19.5" customHeight="1">
      <c r="A131" s="55"/>
      <c r="B131" s="66"/>
      <c r="C131" s="57"/>
      <c r="D131" s="58">
        <v>15000.0</v>
      </c>
      <c r="E131" s="57" t="s">
        <v>86</v>
      </c>
      <c r="F131" s="57"/>
      <c r="G131" s="57"/>
      <c r="H131" s="57"/>
      <c r="I131" s="57"/>
      <c r="J131" s="57"/>
      <c r="K131" s="57"/>
      <c r="L131" s="57"/>
      <c r="M131" s="58">
        <f t="shared" si="19"/>
        <v>15000</v>
      </c>
      <c r="N131" s="57"/>
    </row>
    <row r="132" ht="19.5" customHeight="1">
      <c r="A132" s="55"/>
      <c r="B132" s="66"/>
      <c r="C132" s="57"/>
      <c r="D132" s="57">
        <v>150.0</v>
      </c>
      <c r="E132" s="57" t="s">
        <v>87</v>
      </c>
      <c r="F132" s="57"/>
      <c r="G132" s="57"/>
      <c r="H132" s="57"/>
      <c r="I132" s="57"/>
      <c r="J132" s="57"/>
      <c r="K132" s="57"/>
      <c r="L132" s="57"/>
      <c r="M132" s="57">
        <f t="shared" si="19"/>
        <v>150</v>
      </c>
      <c r="N132" s="57"/>
    </row>
    <row r="133" ht="19.5" customHeight="1">
      <c r="A133" s="55"/>
      <c r="B133" s="66"/>
      <c r="C133" s="57"/>
      <c r="D133" s="57">
        <v>300.0</v>
      </c>
      <c r="E133" s="57" t="s">
        <v>102</v>
      </c>
      <c r="F133" s="57"/>
      <c r="G133" s="57"/>
      <c r="H133" s="57"/>
      <c r="I133" s="57"/>
      <c r="J133" s="57"/>
      <c r="K133" s="57"/>
      <c r="L133" s="57"/>
      <c r="M133" s="57">
        <f t="shared" si="19"/>
        <v>300</v>
      </c>
      <c r="N133" s="57"/>
    </row>
    <row r="134" ht="19.5" customHeight="1">
      <c r="A134" s="55"/>
      <c r="B134" s="66"/>
      <c r="C134" s="57"/>
      <c r="D134" s="57">
        <v>150.0</v>
      </c>
      <c r="E134" s="57" t="s">
        <v>96</v>
      </c>
      <c r="F134" s="57"/>
      <c r="G134" s="57"/>
      <c r="H134" s="57"/>
      <c r="I134" s="57"/>
      <c r="J134" s="57"/>
      <c r="K134" s="57"/>
      <c r="L134" s="57"/>
      <c r="M134" s="57">
        <f t="shared" si="19"/>
        <v>150</v>
      </c>
      <c r="N134" s="57"/>
    </row>
    <row r="135" ht="19.5" customHeight="1">
      <c r="A135" s="55"/>
      <c r="B135" s="66"/>
      <c r="C135" s="57"/>
      <c r="D135" s="58">
        <v>50000.0</v>
      </c>
      <c r="E135" s="57" t="s">
        <v>90</v>
      </c>
      <c r="F135" s="57"/>
      <c r="G135" s="57"/>
      <c r="H135" s="57"/>
      <c r="I135" s="57"/>
      <c r="J135" s="57"/>
      <c r="K135" s="57"/>
      <c r="L135" s="58">
        <f>D135</f>
        <v>50000</v>
      </c>
      <c r="N135" s="57"/>
    </row>
    <row r="136" ht="19.5" customHeight="1">
      <c r="A136" s="55"/>
      <c r="B136" s="66"/>
      <c r="C136" s="57" t="s">
        <v>23</v>
      </c>
      <c r="D136" s="57">
        <v>2205.0</v>
      </c>
      <c r="E136" s="86" t="s">
        <v>79</v>
      </c>
      <c r="F136" s="57"/>
      <c r="G136" s="57"/>
      <c r="H136" s="57"/>
      <c r="I136" s="57"/>
      <c r="J136" s="57"/>
      <c r="K136" s="57"/>
      <c r="L136" s="57"/>
      <c r="M136" s="57">
        <f t="shared" ref="M136:M140" si="20">D136</f>
        <v>2205</v>
      </c>
      <c r="N136" s="57"/>
    </row>
    <row r="137" ht="19.5" customHeight="1">
      <c r="A137" s="55"/>
      <c r="B137" s="66"/>
      <c r="C137" s="57"/>
      <c r="D137" s="57">
        <v>441.0</v>
      </c>
      <c r="E137" s="39" t="s">
        <v>80</v>
      </c>
      <c r="F137" s="57"/>
      <c r="G137" s="57"/>
      <c r="H137" s="57"/>
      <c r="I137" s="57"/>
      <c r="J137" s="57"/>
      <c r="K137" s="57"/>
      <c r="L137" s="57"/>
      <c r="M137" s="57">
        <f t="shared" si="20"/>
        <v>441</v>
      </c>
      <c r="N137" s="57"/>
    </row>
    <row r="138" ht="19.5" customHeight="1">
      <c r="A138" s="55"/>
      <c r="B138" s="66"/>
      <c r="C138" s="57"/>
      <c r="D138" s="57">
        <v>446.0</v>
      </c>
      <c r="E138" s="86" t="s">
        <v>81</v>
      </c>
      <c r="F138" s="57"/>
      <c r="G138" s="57"/>
      <c r="H138" s="57"/>
      <c r="I138" s="57"/>
      <c r="J138" s="57"/>
      <c r="K138" s="57"/>
      <c r="L138" s="57"/>
      <c r="M138" s="57">
        <f t="shared" si="20"/>
        <v>446</v>
      </c>
      <c r="N138" s="57"/>
    </row>
    <row r="139" ht="19.5" customHeight="1">
      <c r="A139" s="55"/>
      <c r="B139" s="66"/>
      <c r="C139" s="57"/>
      <c r="D139" s="57">
        <v>1498.0</v>
      </c>
      <c r="E139" s="39" t="s">
        <v>82</v>
      </c>
      <c r="F139" s="57"/>
      <c r="G139" s="57"/>
      <c r="H139" s="57"/>
      <c r="I139" s="57"/>
      <c r="J139" s="57"/>
      <c r="K139" s="57"/>
      <c r="L139" s="57"/>
      <c r="M139" s="57">
        <f t="shared" si="20"/>
        <v>1498</v>
      </c>
      <c r="N139" s="57"/>
    </row>
    <row r="140" ht="19.5" customHeight="1">
      <c r="A140" s="55"/>
      <c r="B140" s="66"/>
      <c r="C140" s="57"/>
      <c r="D140" s="57">
        <v>274.7</v>
      </c>
      <c r="E140" s="86" t="s">
        <v>83</v>
      </c>
      <c r="F140" s="57"/>
      <c r="G140" s="57"/>
      <c r="H140" s="57"/>
      <c r="I140" s="57"/>
      <c r="J140" s="57"/>
      <c r="K140" s="57"/>
      <c r="L140" s="57"/>
      <c r="M140" s="57">
        <f t="shared" si="20"/>
        <v>274.7</v>
      </c>
      <c r="N140" s="57"/>
    </row>
    <row r="141" ht="19.5" customHeight="1">
      <c r="A141" s="55"/>
      <c r="B141" s="66"/>
      <c r="C141" s="57"/>
      <c r="D141" s="58">
        <v>814800.0</v>
      </c>
      <c r="E141" s="39" t="s">
        <v>84</v>
      </c>
      <c r="F141" s="57"/>
      <c r="G141" s="57"/>
      <c r="H141" s="57"/>
      <c r="I141" s="57"/>
      <c r="J141" s="57"/>
      <c r="K141" s="58">
        <f>D141</f>
        <v>814800</v>
      </c>
      <c r="L141" s="57"/>
      <c r="N141" s="57"/>
    </row>
    <row r="142" ht="19.5" customHeight="1">
      <c r="A142" s="55"/>
      <c r="B142" s="66"/>
      <c r="C142" s="57"/>
      <c r="D142" s="57">
        <v>5020.25</v>
      </c>
      <c r="E142" s="88" t="s">
        <v>141</v>
      </c>
      <c r="F142" s="57"/>
      <c r="G142" s="57"/>
      <c r="H142" s="57"/>
      <c r="I142" s="57"/>
      <c r="J142" s="57"/>
      <c r="K142" s="57"/>
      <c r="L142" s="57"/>
      <c r="M142" s="57">
        <f t="shared" ref="M142:M146" si="21">D142</f>
        <v>5020.25</v>
      </c>
      <c r="N142" s="57"/>
    </row>
    <row r="143" ht="19.5" customHeight="1">
      <c r="A143" s="55"/>
      <c r="B143" s="66"/>
      <c r="C143" s="57"/>
      <c r="D143" s="57">
        <v>15670.0</v>
      </c>
      <c r="E143" s="57" t="s">
        <v>157</v>
      </c>
      <c r="F143" s="57"/>
      <c r="G143" s="57"/>
      <c r="H143" s="57"/>
      <c r="I143" s="57"/>
      <c r="J143" s="57"/>
      <c r="K143" s="57"/>
      <c r="L143" s="57"/>
      <c r="M143" s="57">
        <f t="shared" si="21"/>
        <v>15670</v>
      </c>
      <c r="N143" s="57"/>
    </row>
    <row r="144" ht="19.5" customHeight="1">
      <c r="A144" s="55"/>
      <c r="B144" s="66"/>
      <c r="C144" s="57"/>
      <c r="D144" s="58">
        <v>35756.0</v>
      </c>
      <c r="E144" s="57" t="s">
        <v>195</v>
      </c>
      <c r="F144" s="57"/>
      <c r="G144" s="57"/>
      <c r="H144" s="57"/>
      <c r="I144" s="57"/>
      <c r="J144" s="57"/>
      <c r="K144" s="57"/>
      <c r="L144" s="57"/>
      <c r="M144" s="58">
        <f t="shared" si="21"/>
        <v>35756</v>
      </c>
      <c r="N144" s="57"/>
    </row>
    <row r="145" ht="19.5" customHeight="1">
      <c r="A145" s="55"/>
      <c r="B145" s="66"/>
      <c r="C145" s="57"/>
      <c r="D145" s="57">
        <v>300.0</v>
      </c>
      <c r="E145" s="57" t="s">
        <v>87</v>
      </c>
      <c r="F145" s="57"/>
      <c r="G145" s="57"/>
      <c r="H145" s="57"/>
      <c r="I145" s="57"/>
      <c r="J145" s="57"/>
      <c r="K145" s="57"/>
      <c r="L145" s="57"/>
      <c r="M145" s="57">
        <f t="shared" si="21"/>
        <v>300</v>
      </c>
      <c r="N145" s="57"/>
    </row>
    <row r="146" ht="19.5" customHeight="1">
      <c r="A146" s="55"/>
      <c r="B146" s="66"/>
      <c r="C146" s="57"/>
      <c r="D146" s="57">
        <v>22500.0</v>
      </c>
      <c r="E146" s="57" t="s">
        <v>196</v>
      </c>
      <c r="F146" s="57"/>
      <c r="G146" s="57"/>
      <c r="H146" s="57"/>
      <c r="I146" s="57"/>
      <c r="J146" s="57"/>
      <c r="K146" s="57"/>
      <c r="L146" s="57"/>
      <c r="M146" s="57">
        <f t="shared" si="21"/>
        <v>22500</v>
      </c>
      <c r="N146" s="57"/>
    </row>
    <row r="147" ht="19.5" customHeight="1">
      <c r="A147" s="55"/>
      <c r="B147" s="66"/>
      <c r="C147" s="57"/>
      <c r="D147" s="58">
        <v>66000.0</v>
      </c>
      <c r="E147" s="57" t="s">
        <v>193</v>
      </c>
      <c r="F147" s="57"/>
      <c r="G147" s="58">
        <f>D147</f>
        <v>66000</v>
      </c>
      <c r="H147" s="57"/>
      <c r="I147" s="57"/>
      <c r="J147" s="57"/>
      <c r="K147" s="57"/>
      <c r="L147" s="57"/>
      <c r="N147" s="57"/>
    </row>
    <row r="148" ht="19.5" customHeight="1">
      <c r="A148" s="55"/>
      <c r="B148" s="66"/>
      <c r="C148" s="57"/>
      <c r="D148" s="58">
        <v>10000.0</v>
      </c>
      <c r="E148" s="57" t="s">
        <v>190</v>
      </c>
      <c r="F148" s="57"/>
      <c r="G148" s="57"/>
      <c r="H148" s="57"/>
      <c r="I148" s="57"/>
      <c r="J148" s="57"/>
      <c r="K148" s="58">
        <f>D148</f>
        <v>10000</v>
      </c>
      <c r="L148" s="57"/>
      <c r="N148" s="57"/>
    </row>
    <row r="149" ht="19.5" customHeight="1">
      <c r="A149" s="55"/>
      <c r="B149" s="66" t="s">
        <v>8</v>
      </c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 t="str">
        <f t="shared" ref="M149:M151" si="22">D149</f>
        <v/>
      </c>
      <c r="N149" s="57"/>
    </row>
    <row r="150" ht="19.5" customHeight="1">
      <c r="A150" s="55"/>
      <c r="B150" s="66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 t="str">
        <f t="shared" si="22"/>
        <v/>
      </c>
      <c r="N150" s="57"/>
    </row>
    <row r="151" ht="19.5" customHeight="1">
      <c r="A151" s="55"/>
      <c r="B151" s="66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 t="str">
        <f t="shared" si="22"/>
        <v/>
      </c>
      <c r="N151" s="57"/>
    </row>
    <row r="152" ht="19.5" customHeight="1">
      <c r="A152" s="8"/>
      <c r="B152" s="103" t="s">
        <v>197</v>
      </c>
      <c r="C152" s="68" t="s">
        <v>12</v>
      </c>
      <c r="D152" s="76">
        <v>200000.0</v>
      </c>
      <c r="E152" s="69" t="s">
        <v>90</v>
      </c>
      <c r="F152" s="69"/>
      <c r="G152" s="69"/>
      <c r="H152" s="69"/>
      <c r="I152" s="69"/>
      <c r="J152" s="69"/>
      <c r="K152" s="69"/>
      <c r="L152" s="58">
        <f t="shared" ref="L152:L154" si="23">D152</f>
        <v>200000</v>
      </c>
      <c r="N152" s="57"/>
    </row>
    <row r="153" ht="19.5" customHeight="1">
      <c r="A153" s="8"/>
      <c r="B153" s="104"/>
      <c r="C153" s="71" t="s">
        <v>13</v>
      </c>
      <c r="D153" s="26">
        <v>200000.0</v>
      </c>
      <c r="E153" s="72" t="s">
        <v>90</v>
      </c>
      <c r="F153" s="72"/>
      <c r="G153" s="72"/>
      <c r="H153" s="72"/>
      <c r="I153" s="72"/>
      <c r="J153" s="72"/>
      <c r="K153" s="72"/>
      <c r="L153" s="58">
        <f t="shared" si="23"/>
        <v>200000</v>
      </c>
      <c r="M153" s="57"/>
      <c r="N153" s="57"/>
    </row>
    <row r="154" ht="19.5" customHeight="1">
      <c r="A154" s="8"/>
      <c r="B154" s="105"/>
      <c r="C154" s="69" t="s">
        <v>14</v>
      </c>
      <c r="D154" s="76">
        <v>560000.0</v>
      </c>
      <c r="E154" s="69" t="s">
        <v>90</v>
      </c>
      <c r="F154" s="69"/>
      <c r="G154" s="69"/>
      <c r="H154" s="69"/>
      <c r="I154" s="69"/>
      <c r="J154" s="69"/>
      <c r="K154" s="69"/>
      <c r="L154" s="58">
        <f t="shared" si="23"/>
        <v>560000</v>
      </c>
      <c r="M154" s="57"/>
      <c r="N154" s="57"/>
    </row>
    <row r="155" ht="19.5" customHeight="1">
      <c r="A155" s="8"/>
      <c r="B155" s="105"/>
      <c r="C155" s="69"/>
      <c r="D155" s="76">
        <v>800000.0</v>
      </c>
      <c r="E155" s="69" t="s">
        <v>198</v>
      </c>
      <c r="F155" s="69"/>
      <c r="G155" s="69"/>
      <c r="H155" s="69"/>
      <c r="I155" s="69"/>
      <c r="J155" s="69"/>
      <c r="K155" s="69"/>
      <c r="L155" s="69"/>
      <c r="M155" s="58">
        <f t="shared" ref="M155:M156" si="24">D155</f>
        <v>800000</v>
      </c>
      <c r="N155" s="57"/>
    </row>
    <row r="156" ht="19.5" customHeight="1">
      <c r="A156" s="8"/>
      <c r="B156" s="106"/>
      <c r="C156" s="75" t="s">
        <v>15</v>
      </c>
      <c r="D156" s="26">
        <v>1700000.0</v>
      </c>
      <c r="E156" s="72" t="s">
        <v>198</v>
      </c>
      <c r="F156" s="72"/>
      <c r="G156" s="72"/>
      <c r="H156" s="72"/>
      <c r="I156" s="72"/>
      <c r="J156" s="72"/>
      <c r="K156" s="72"/>
      <c r="L156" s="72"/>
      <c r="M156" s="58">
        <f t="shared" si="24"/>
        <v>1700000</v>
      </c>
      <c r="N156" s="57"/>
    </row>
    <row r="157" ht="19.5" customHeight="1">
      <c r="A157" s="8"/>
      <c r="B157" s="105"/>
      <c r="C157" s="80" t="s">
        <v>16</v>
      </c>
      <c r="D157" s="76">
        <v>400000.0</v>
      </c>
      <c r="E157" s="69" t="s">
        <v>90</v>
      </c>
      <c r="F157" s="69"/>
      <c r="G157" s="69"/>
      <c r="H157" s="69"/>
      <c r="I157" s="69"/>
      <c r="J157" s="69"/>
      <c r="K157" s="69"/>
      <c r="L157" s="58">
        <f t="shared" ref="L157:L160" si="25">D157</f>
        <v>400000</v>
      </c>
      <c r="N157" s="57"/>
    </row>
    <row r="158" ht="19.5" customHeight="1">
      <c r="A158" s="8"/>
      <c r="B158" s="106"/>
      <c r="C158" s="75" t="s">
        <v>17</v>
      </c>
      <c r="D158" s="26">
        <v>150000.0</v>
      </c>
      <c r="E158" s="72" t="s">
        <v>90</v>
      </c>
      <c r="F158" s="75"/>
      <c r="G158" s="75"/>
      <c r="H158" s="75"/>
      <c r="I158" s="75"/>
      <c r="J158" s="75"/>
      <c r="K158" s="75"/>
      <c r="L158" s="58">
        <f t="shared" si="25"/>
        <v>150000</v>
      </c>
      <c r="M158" s="57"/>
      <c r="N158" s="57"/>
    </row>
    <row r="159" ht="19.5" customHeight="1">
      <c r="A159" s="8"/>
      <c r="B159" s="106"/>
      <c r="C159" s="75"/>
      <c r="D159" s="26">
        <v>150050.0</v>
      </c>
      <c r="E159" s="72" t="s">
        <v>75</v>
      </c>
      <c r="F159" s="75"/>
      <c r="G159" s="75"/>
      <c r="H159" s="75"/>
      <c r="I159" s="75"/>
      <c r="J159" s="75"/>
      <c r="K159" s="75"/>
      <c r="L159" s="58">
        <f t="shared" si="25"/>
        <v>150050</v>
      </c>
      <c r="M159" s="57"/>
      <c r="N159" s="57"/>
    </row>
    <row r="160" ht="19.5" customHeight="1">
      <c r="A160" s="8"/>
      <c r="B160" s="105"/>
      <c r="C160" s="80" t="s">
        <v>18</v>
      </c>
      <c r="D160" s="76">
        <v>34414.0</v>
      </c>
      <c r="E160" s="69" t="s">
        <v>199</v>
      </c>
      <c r="F160" s="80"/>
      <c r="G160" s="80"/>
      <c r="H160" s="80"/>
      <c r="I160" s="80"/>
      <c r="J160" s="80"/>
      <c r="K160" s="80"/>
      <c r="L160" s="58">
        <f t="shared" si="25"/>
        <v>34414</v>
      </c>
      <c r="M160" s="57"/>
      <c r="N160" s="57"/>
    </row>
    <row r="161" ht="19.5" customHeight="1">
      <c r="A161" s="8"/>
      <c r="B161" s="106"/>
      <c r="C161" s="75" t="s">
        <v>19</v>
      </c>
      <c r="D161" s="72">
        <v>0.0</v>
      </c>
      <c r="E161" s="75"/>
      <c r="F161" s="75"/>
      <c r="G161" s="75"/>
      <c r="H161" s="75"/>
      <c r="I161" s="75"/>
      <c r="J161" s="75"/>
      <c r="K161" s="75"/>
      <c r="L161" s="75"/>
      <c r="M161" s="57"/>
      <c r="N161" s="57"/>
    </row>
    <row r="162" ht="19.5" customHeight="1">
      <c r="A162" s="8"/>
      <c r="B162" s="105"/>
      <c r="C162" s="80" t="s">
        <v>20</v>
      </c>
      <c r="D162" s="76">
        <v>440000.0</v>
      </c>
      <c r="E162" s="69" t="s">
        <v>90</v>
      </c>
      <c r="F162" s="80"/>
      <c r="G162" s="80"/>
      <c r="H162" s="80"/>
      <c r="I162" s="80"/>
      <c r="J162" s="80"/>
      <c r="K162" s="80"/>
      <c r="L162" s="58">
        <f t="shared" ref="L162:L163" si="26">D162</f>
        <v>440000</v>
      </c>
      <c r="N162" s="57"/>
    </row>
    <row r="163" ht="19.5" customHeight="1">
      <c r="A163" s="8"/>
      <c r="B163" s="105"/>
      <c r="C163" s="80"/>
      <c r="D163" s="76">
        <v>300000.0</v>
      </c>
      <c r="E163" s="69" t="s">
        <v>75</v>
      </c>
      <c r="F163" s="80"/>
      <c r="G163" s="80"/>
      <c r="H163" s="80"/>
      <c r="I163" s="80"/>
      <c r="J163" s="80"/>
      <c r="K163" s="80"/>
      <c r="L163" s="58">
        <f t="shared" si="26"/>
        <v>300000</v>
      </c>
      <c r="N163" s="57"/>
    </row>
    <row r="164" ht="19.5" customHeight="1">
      <c r="A164" s="8"/>
      <c r="B164" s="106"/>
      <c r="C164" s="75" t="s">
        <v>21</v>
      </c>
      <c r="D164" s="72">
        <v>0.0</v>
      </c>
      <c r="E164" s="75"/>
      <c r="F164" s="75"/>
      <c r="G164" s="75"/>
      <c r="H164" s="75"/>
      <c r="I164" s="75"/>
      <c r="J164" s="75"/>
      <c r="K164" s="75"/>
      <c r="L164" s="75"/>
      <c r="M164" s="57"/>
      <c r="N164" s="57"/>
    </row>
    <row r="165" ht="19.5" customHeight="1">
      <c r="A165" s="8"/>
      <c r="B165" s="105"/>
      <c r="C165" s="80" t="s">
        <v>22</v>
      </c>
      <c r="D165" s="76">
        <v>150000.0</v>
      </c>
      <c r="E165" s="69" t="s">
        <v>90</v>
      </c>
      <c r="F165" s="80"/>
      <c r="G165" s="80"/>
      <c r="H165" s="80"/>
      <c r="I165" s="80"/>
      <c r="J165" s="80"/>
      <c r="K165" s="80"/>
      <c r="L165" s="58">
        <f t="shared" ref="L165:L166" si="27">D165</f>
        <v>150000</v>
      </c>
      <c r="N165" s="57"/>
    </row>
    <row r="166" ht="19.5" customHeight="1">
      <c r="A166" s="8"/>
      <c r="B166" s="106"/>
      <c r="C166" s="75" t="s">
        <v>23</v>
      </c>
      <c r="D166" s="26">
        <v>250000.0</v>
      </c>
      <c r="E166" s="72" t="s">
        <v>90</v>
      </c>
      <c r="F166" s="75"/>
      <c r="G166" s="75"/>
      <c r="H166" s="75"/>
      <c r="I166" s="75"/>
      <c r="J166" s="75"/>
      <c r="K166" s="75"/>
      <c r="L166" s="58">
        <f t="shared" si="27"/>
        <v>250000</v>
      </c>
      <c r="N166" s="57"/>
    </row>
    <row r="167" ht="19.5" customHeight="1">
      <c r="A167" s="81"/>
      <c r="B167" s="77" t="s">
        <v>8</v>
      </c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57" t="str">
        <f t="shared" ref="M167:M169" si="28">D167</f>
        <v/>
      </c>
      <c r="N167" s="82"/>
    </row>
    <row r="168" ht="19.5" customHeight="1">
      <c r="A168" s="81"/>
      <c r="B168" s="107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57" t="str">
        <f t="shared" si="28"/>
        <v/>
      </c>
      <c r="N168" s="57"/>
    </row>
    <row r="169" ht="19.5" customHeight="1">
      <c r="A169" s="81"/>
      <c r="B169" s="107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57" t="str">
        <f t="shared" si="28"/>
        <v/>
      </c>
      <c r="N169" s="57"/>
    </row>
    <row r="170" ht="19.5" customHeight="1">
      <c r="A170" s="8"/>
      <c r="B170" s="108" t="s">
        <v>200</v>
      </c>
      <c r="C170" s="80" t="s">
        <v>12</v>
      </c>
      <c r="D170" s="69">
        <v>23000.0</v>
      </c>
      <c r="E170" s="69" t="s">
        <v>201</v>
      </c>
      <c r="F170" s="69"/>
      <c r="G170" s="69"/>
      <c r="H170" s="69"/>
      <c r="I170" s="69"/>
      <c r="J170" s="69"/>
      <c r="K170" s="57">
        <f>D170</f>
        <v>23000</v>
      </c>
      <c r="L170" s="69"/>
      <c r="N170" s="57"/>
    </row>
    <row r="171" ht="19.5" customHeight="1">
      <c r="A171" s="8"/>
      <c r="B171" s="108"/>
      <c r="C171" s="80"/>
      <c r="D171" s="69">
        <v>333.3</v>
      </c>
      <c r="E171" s="69" t="s">
        <v>202</v>
      </c>
      <c r="F171" s="69"/>
      <c r="G171" s="69"/>
      <c r="H171" s="69"/>
      <c r="I171" s="69"/>
      <c r="J171" s="69"/>
      <c r="K171" s="69"/>
      <c r="L171" s="69"/>
      <c r="M171" s="57">
        <f>D171</f>
        <v>333.3</v>
      </c>
      <c r="N171" s="57"/>
    </row>
    <row r="172" ht="19.5" customHeight="1">
      <c r="A172" s="8"/>
      <c r="B172" s="108"/>
      <c r="C172" s="80"/>
      <c r="D172" s="76">
        <v>90000.0</v>
      </c>
      <c r="E172" s="69" t="s">
        <v>190</v>
      </c>
      <c r="F172" s="69"/>
      <c r="G172" s="69"/>
      <c r="H172" s="69"/>
      <c r="I172" s="69"/>
      <c r="J172" s="69"/>
      <c r="K172" s="58">
        <f t="shared" ref="K172:K173" si="29">D172</f>
        <v>90000</v>
      </c>
      <c r="L172" s="69"/>
      <c r="N172" s="57"/>
    </row>
    <row r="173" ht="19.5" customHeight="1">
      <c r="A173" s="8"/>
      <c r="B173" s="106"/>
      <c r="C173" s="75" t="s">
        <v>13</v>
      </c>
      <c r="D173" s="26">
        <v>48000.0</v>
      </c>
      <c r="E173" s="72" t="s">
        <v>201</v>
      </c>
      <c r="F173" s="72"/>
      <c r="G173" s="72"/>
      <c r="H173" s="72"/>
      <c r="I173" s="72"/>
      <c r="J173" s="72"/>
      <c r="K173" s="58">
        <f t="shared" si="29"/>
        <v>48000</v>
      </c>
      <c r="L173" s="72"/>
      <c r="M173" s="57"/>
      <c r="N173" s="57"/>
    </row>
    <row r="174" ht="19.5" customHeight="1">
      <c r="A174" s="8"/>
      <c r="B174" s="106"/>
      <c r="C174" s="75"/>
      <c r="D174" s="72">
        <v>545.9</v>
      </c>
      <c r="E174" s="72" t="s">
        <v>202</v>
      </c>
      <c r="F174" s="72"/>
      <c r="G174" s="72"/>
      <c r="H174" s="72"/>
      <c r="I174" s="72"/>
      <c r="J174" s="72"/>
      <c r="K174" s="57"/>
      <c r="L174" s="72"/>
      <c r="M174" s="57">
        <f t="shared" ref="M174:M175" si="30">D174</f>
        <v>545.9</v>
      </c>
      <c r="N174" s="57"/>
    </row>
    <row r="175" ht="19.5" customHeight="1">
      <c r="A175" s="8"/>
      <c r="B175" s="106"/>
      <c r="C175" s="75"/>
      <c r="D175" s="26">
        <v>16000.0</v>
      </c>
      <c r="E175" s="72" t="s">
        <v>203</v>
      </c>
      <c r="F175" s="72"/>
      <c r="G175" s="72"/>
      <c r="H175" s="72"/>
      <c r="I175" s="72"/>
      <c r="J175" s="72"/>
      <c r="K175" s="57"/>
      <c r="L175" s="72"/>
      <c r="M175" s="58">
        <f t="shared" si="30"/>
        <v>16000</v>
      </c>
      <c r="N175" s="57"/>
    </row>
    <row r="176" ht="19.5" customHeight="1">
      <c r="A176" s="8"/>
      <c r="B176" s="106"/>
      <c r="C176" s="75"/>
      <c r="D176" s="26">
        <v>93500.0</v>
      </c>
      <c r="E176" s="72" t="s">
        <v>190</v>
      </c>
      <c r="F176" s="72"/>
      <c r="G176" s="72"/>
      <c r="H176" s="72"/>
      <c r="I176" s="72"/>
      <c r="J176" s="72"/>
      <c r="K176" s="58">
        <f t="shared" ref="K176:K177" si="31">D176</f>
        <v>93500</v>
      </c>
      <c r="L176" s="72"/>
      <c r="M176" s="57"/>
      <c r="N176" s="57"/>
    </row>
    <row r="177" ht="19.5" customHeight="1">
      <c r="A177" s="8"/>
      <c r="B177" s="105"/>
      <c r="C177" s="69" t="s">
        <v>14</v>
      </c>
      <c r="D177" s="76">
        <v>50000.0</v>
      </c>
      <c r="E177" s="69" t="s">
        <v>201</v>
      </c>
      <c r="F177" s="69"/>
      <c r="G177" s="69"/>
      <c r="H177" s="69"/>
      <c r="I177" s="69"/>
      <c r="J177" s="69"/>
      <c r="K177" s="58">
        <f t="shared" si="31"/>
        <v>50000</v>
      </c>
      <c r="L177" s="69"/>
      <c r="M177" s="57"/>
      <c r="N177" s="57"/>
    </row>
    <row r="178" ht="19.5" customHeight="1">
      <c r="A178" s="8"/>
      <c r="B178" s="105"/>
      <c r="C178" s="69"/>
      <c r="D178" s="69">
        <v>279.4</v>
      </c>
      <c r="E178" s="69" t="s">
        <v>202</v>
      </c>
      <c r="F178" s="69"/>
      <c r="G178" s="69"/>
      <c r="H178" s="69"/>
      <c r="I178" s="69"/>
      <c r="J178" s="69"/>
      <c r="K178" s="57"/>
      <c r="L178" s="69"/>
      <c r="M178" s="57">
        <f>D178</f>
        <v>279.4</v>
      </c>
      <c r="N178" s="57"/>
    </row>
    <row r="179" ht="19.5" customHeight="1">
      <c r="A179" s="8"/>
      <c r="B179" s="105"/>
      <c r="C179" s="69"/>
      <c r="D179" s="76">
        <v>80000.0</v>
      </c>
      <c r="E179" s="69" t="s">
        <v>190</v>
      </c>
      <c r="F179" s="69"/>
      <c r="G179" s="69"/>
      <c r="H179" s="69"/>
      <c r="I179" s="69"/>
      <c r="J179" s="69"/>
      <c r="K179" s="58">
        <f t="shared" ref="K179:K181" si="32">D179</f>
        <v>80000</v>
      </c>
      <c r="L179" s="69"/>
      <c r="M179" s="57"/>
      <c r="N179" s="57"/>
    </row>
    <row r="180" ht="19.5" customHeight="1">
      <c r="A180" s="8"/>
      <c r="B180" s="106"/>
      <c r="C180" s="75" t="s">
        <v>15</v>
      </c>
      <c r="D180" s="26">
        <v>85000.0</v>
      </c>
      <c r="E180" s="72" t="s">
        <v>190</v>
      </c>
      <c r="F180" s="72"/>
      <c r="G180" s="72"/>
      <c r="H180" s="72"/>
      <c r="I180" s="72"/>
      <c r="J180" s="72"/>
      <c r="K180" s="58">
        <f t="shared" si="32"/>
        <v>85000</v>
      </c>
      <c r="L180" s="72"/>
      <c r="M180" s="57"/>
      <c r="N180" s="57"/>
    </row>
    <row r="181" ht="19.5" customHeight="1">
      <c r="A181" s="8"/>
      <c r="B181" s="106"/>
      <c r="C181" s="75"/>
      <c r="D181" s="26">
        <v>60000.0</v>
      </c>
      <c r="E181" s="72" t="s">
        <v>201</v>
      </c>
      <c r="F181" s="72"/>
      <c r="G181" s="72"/>
      <c r="H181" s="72"/>
      <c r="I181" s="72"/>
      <c r="J181" s="72"/>
      <c r="K181" s="58">
        <f t="shared" si="32"/>
        <v>60000</v>
      </c>
      <c r="L181" s="72"/>
      <c r="M181" s="57"/>
      <c r="N181" s="57"/>
    </row>
    <row r="182" ht="19.5" customHeight="1">
      <c r="A182" s="8"/>
      <c r="B182" s="106"/>
      <c r="C182" s="75"/>
      <c r="D182" s="72">
        <v>290.5</v>
      </c>
      <c r="E182" s="72" t="s">
        <v>117</v>
      </c>
      <c r="F182" s="72"/>
      <c r="G182" s="72"/>
      <c r="H182" s="72"/>
      <c r="I182" s="72"/>
      <c r="J182" s="72"/>
      <c r="K182" s="57"/>
      <c r="L182" s="72"/>
      <c r="M182" s="57"/>
      <c r="N182" s="57"/>
    </row>
    <row r="183" ht="19.5" customHeight="1">
      <c r="A183" s="8"/>
      <c r="B183" s="105"/>
      <c r="C183" s="80" t="s">
        <v>16</v>
      </c>
      <c r="D183" s="76">
        <v>198000.0</v>
      </c>
      <c r="E183" s="69" t="s">
        <v>201</v>
      </c>
      <c r="F183" s="69"/>
      <c r="G183" s="69"/>
      <c r="H183" s="69"/>
      <c r="I183" s="69"/>
      <c r="J183" s="69"/>
      <c r="K183" s="58">
        <f>D183</f>
        <v>198000</v>
      </c>
      <c r="L183" s="69"/>
      <c r="M183" s="57"/>
      <c r="N183" s="57"/>
    </row>
    <row r="184" ht="19.5" customHeight="1">
      <c r="A184" s="8"/>
      <c r="B184" s="105"/>
      <c r="C184" s="80"/>
      <c r="D184" s="69">
        <v>684.5</v>
      </c>
      <c r="E184" s="69" t="s">
        <v>202</v>
      </c>
      <c r="F184" s="69"/>
      <c r="G184" s="69"/>
      <c r="H184" s="69"/>
      <c r="I184" s="69"/>
      <c r="J184" s="69"/>
      <c r="K184" s="57"/>
      <c r="L184" s="69"/>
      <c r="M184" s="57">
        <f>D184</f>
        <v>684.5</v>
      </c>
      <c r="N184" s="57"/>
    </row>
    <row r="185" ht="19.5" customHeight="1">
      <c r="A185" s="8"/>
      <c r="B185" s="105"/>
      <c r="C185" s="80"/>
      <c r="D185" s="76">
        <v>90000.0</v>
      </c>
      <c r="E185" s="69" t="s">
        <v>190</v>
      </c>
      <c r="F185" s="69"/>
      <c r="G185" s="69"/>
      <c r="H185" s="69"/>
      <c r="I185" s="69"/>
      <c r="J185" s="69"/>
      <c r="K185" s="58">
        <f>D185</f>
        <v>90000</v>
      </c>
      <c r="L185" s="69"/>
      <c r="M185" s="57"/>
      <c r="N185" s="57"/>
    </row>
    <row r="186" ht="19.5" customHeight="1">
      <c r="A186" s="8"/>
      <c r="B186" s="105"/>
      <c r="C186" s="80"/>
      <c r="D186" s="76">
        <v>19155.0</v>
      </c>
      <c r="E186" s="69" t="s">
        <v>157</v>
      </c>
      <c r="F186" s="69"/>
      <c r="G186" s="69"/>
      <c r="H186" s="69"/>
      <c r="I186" s="69"/>
      <c r="J186" s="69"/>
      <c r="K186" s="57"/>
      <c r="L186" s="69"/>
      <c r="M186" s="58">
        <f>D186</f>
        <v>19155</v>
      </c>
      <c r="N186" s="57"/>
    </row>
    <row r="187" ht="19.5" customHeight="1">
      <c r="A187" s="8"/>
      <c r="B187" s="106"/>
      <c r="C187" s="75" t="s">
        <v>17</v>
      </c>
      <c r="D187" s="26">
        <v>197000.0</v>
      </c>
      <c r="E187" s="72" t="s">
        <v>201</v>
      </c>
      <c r="F187" s="75"/>
      <c r="G187" s="75"/>
      <c r="H187" s="75"/>
      <c r="I187" s="75"/>
      <c r="J187" s="75"/>
      <c r="K187" s="58">
        <f>D187</f>
        <v>197000</v>
      </c>
      <c r="L187" s="75"/>
      <c r="M187" s="57"/>
      <c r="N187" s="57"/>
    </row>
    <row r="188" ht="19.5" customHeight="1">
      <c r="A188" s="8"/>
      <c r="B188" s="106"/>
      <c r="C188" s="75"/>
      <c r="D188" s="72">
        <v>1064.1</v>
      </c>
      <c r="E188" s="72" t="s">
        <v>202</v>
      </c>
      <c r="F188" s="75"/>
      <c r="G188" s="75"/>
      <c r="H188" s="75"/>
      <c r="I188" s="75"/>
      <c r="J188" s="75"/>
      <c r="K188" s="57"/>
      <c r="L188" s="75"/>
      <c r="M188" s="57">
        <f>D188</f>
        <v>1064.1</v>
      </c>
      <c r="N188" s="57"/>
    </row>
    <row r="189" ht="19.5" customHeight="1">
      <c r="A189" s="8"/>
      <c r="B189" s="106"/>
      <c r="C189" s="75"/>
      <c r="D189" s="26">
        <v>41000.0</v>
      </c>
      <c r="E189" s="72" t="s">
        <v>190</v>
      </c>
      <c r="F189" s="75"/>
      <c r="G189" s="75"/>
      <c r="H189" s="75"/>
      <c r="I189" s="75"/>
      <c r="J189" s="75"/>
      <c r="K189" s="58">
        <f>D189</f>
        <v>41000</v>
      </c>
      <c r="L189" s="75"/>
      <c r="M189" s="57"/>
      <c r="N189" s="57"/>
    </row>
    <row r="190" ht="19.5" customHeight="1">
      <c r="A190" s="8"/>
      <c r="B190" s="106"/>
      <c r="C190" s="75"/>
      <c r="D190" s="72">
        <v>600.0</v>
      </c>
      <c r="E190" s="72" t="s">
        <v>157</v>
      </c>
      <c r="F190" s="75"/>
      <c r="G190" s="75"/>
      <c r="H190" s="75"/>
      <c r="I190" s="75"/>
      <c r="J190" s="75"/>
      <c r="K190" s="57"/>
      <c r="L190" s="75"/>
      <c r="M190" s="57">
        <f>D190</f>
        <v>600</v>
      </c>
      <c r="N190" s="57"/>
    </row>
    <row r="191" ht="19.5" customHeight="1">
      <c r="A191" s="8"/>
      <c r="B191" s="105"/>
      <c r="C191" s="80" t="s">
        <v>18</v>
      </c>
      <c r="D191" s="76">
        <v>217000.0</v>
      </c>
      <c r="E191" s="69" t="s">
        <v>201</v>
      </c>
      <c r="F191" s="80"/>
      <c r="G191" s="80"/>
      <c r="H191" s="80"/>
      <c r="I191" s="80"/>
      <c r="J191" s="80"/>
      <c r="K191" s="58">
        <f>D191</f>
        <v>217000</v>
      </c>
      <c r="L191" s="80"/>
      <c r="M191" s="57"/>
      <c r="N191" s="57"/>
    </row>
    <row r="192" ht="19.5" customHeight="1">
      <c r="A192" s="8"/>
      <c r="B192" s="105"/>
      <c r="C192" s="80"/>
      <c r="D192" s="69">
        <v>649.5</v>
      </c>
      <c r="E192" s="69" t="s">
        <v>202</v>
      </c>
      <c r="F192" s="80"/>
      <c r="G192" s="80"/>
      <c r="H192" s="80"/>
      <c r="I192" s="80"/>
      <c r="J192" s="80"/>
      <c r="K192" s="57"/>
      <c r="L192" s="80"/>
      <c r="M192" s="57">
        <f>D192</f>
        <v>649.5</v>
      </c>
      <c r="N192" s="57"/>
    </row>
    <row r="193" ht="19.5" customHeight="1">
      <c r="A193" s="8"/>
      <c r="B193" s="106"/>
      <c r="C193" s="75" t="s">
        <v>19</v>
      </c>
      <c r="D193" s="26">
        <v>254800.0</v>
      </c>
      <c r="E193" s="72" t="s">
        <v>201</v>
      </c>
      <c r="F193" s="75"/>
      <c r="G193" s="75"/>
      <c r="H193" s="75"/>
      <c r="I193" s="75"/>
      <c r="J193" s="75"/>
      <c r="K193" s="58">
        <f>D193</f>
        <v>254800</v>
      </c>
      <c r="L193" s="75"/>
      <c r="M193" s="57"/>
      <c r="N193" s="57"/>
    </row>
    <row r="194" ht="19.5" customHeight="1">
      <c r="A194" s="8"/>
      <c r="B194" s="106"/>
      <c r="C194" s="75"/>
      <c r="D194" s="72">
        <v>591.5</v>
      </c>
      <c r="E194" s="72" t="s">
        <v>202</v>
      </c>
      <c r="F194" s="75"/>
      <c r="G194" s="75"/>
      <c r="H194" s="75"/>
      <c r="I194" s="75"/>
      <c r="J194" s="75"/>
      <c r="K194" s="57"/>
      <c r="L194" s="75"/>
      <c r="M194" s="57">
        <f>D194</f>
        <v>591.5</v>
      </c>
      <c r="N194" s="57"/>
    </row>
    <row r="195" ht="19.5" customHeight="1">
      <c r="A195" s="8"/>
      <c r="B195" s="105"/>
      <c r="C195" s="80" t="s">
        <v>20</v>
      </c>
      <c r="D195" s="76">
        <v>405000.0</v>
      </c>
      <c r="E195" s="69" t="s">
        <v>201</v>
      </c>
      <c r="F195" s="80"/>
      <c r="G195" s="80"/>
      <c r="H195" s="80"/>
      <c r="I195" s="80"/>
      <c r="J195" s="80"/>
      <c r="K195" s="58">
        <f>D195</f>
        <v>405000</v>
      </c>
      <c r="L195" s="80"/>
      <c r="M195" s="57"/>
      <c r="N195" s="57"/>
    </row>
    <row r="196" ht="19.5" customHeight="1">
      <c r="A196" s="8"/>
      <c r="B196" s="105"/>
      <c r="C196" s="80"/>
      <c r="D196" s="69" t="s">
        <v>204</v>
      </c>
      <c r="E196" s="69" t="s">
        <v>202</v>
      </c>
      <c r="F196" s="80"/>
      <c r="G196" s="80"/>
      <c r="H196" s="80"/>
      <c r="I196" s="80"/>
      <c r="J196" s="80"/>
      <c r="K196" s="57"/>
      <c r="L196" s="80"/>
      <c r="M196" s="57" t="str">
        <f>D196</f>
        <v>1.281.6</v>
      </c>
      <c r="N196" s="57"/>
    </row>
    <row r="197" ht="19.5" customHeight="1">
      <c r="A197" s="8"/>
      <c r="B197" s="105"/>
      <c r="C197" s="80"/>
      <c r="D197" s="76">
        <v>20000.0</v>
      </c>
      <c r="E197" s="69" t="s">
        <v>190</v>
      </c>
      <c r="F197" s="80"/>
      <c r="G197" s="80"/>
      <c r="H197" s="80"/>
      <c r="I197" s="80"/>
      <c r="J197" s="80"/>
      <c r="K197" s="58">
        <f t="shared" ref="K197:K198" si="33">D197</f>
        <v>20000</v>
      </c>
      <c r="L197" s="80"/>
      <c r="M197" s="57"/>
      <c r="N197" s="57"/>
    </row>
    <row r="198" ht="19.5" customHeight="1">
      <c r="A198" s="8"/>
      <c r="B198" s="106"/>
      <c r="C198" s="75" t="s">
        <v>21</v>
      </c>
      <c r="D198" s="26">
        <v>292000.0</v>
      </c>
      <c r="E198" s="72" t="s">
        <v>201</v>
      </c>
      <c r="F198" s="75"/>
      <c r="G198" s="75"/>
      <c r="H198" s="75"/>
      <c r="I198" s="75"/>
      <c r="J198" s="75"/>
      <c r="K198" s="58">
        <f t="shared" si="33"/>
        <v>292000</v>
      </c>
      <c r="L198" s="75"/>
      <c r="M198" s="57"/>
      <c r="N198" s="57"/>
    </row>
    <row r="199" ht="19.5" customHeight="1">
      <c r="A199" s="8"/>
      <c r="B199" s="106"/>
      <c r="C199" s="75"/>
      <c r="D199" s="109">
        <v>1112.2</v>
      </c>
      <c r="E199" s="72" t="s">
        <v>202</v>
      </c>
      <c r="F199" s="75"/>
      <c r="G199" s="75"/>
      <c r="H199" s="75"/>
      <c r="I199" s="75"/>
      <c r="J199" s="75"/>
      <c r="K199" s="57"/>
      <c r="L199" s="75"/>
      <c r="M199" s="94">
        <f>D199</f>
        <v>1112.2</v>
      </c>
      <c r="N199" s="57"/>
    </row>
    <row r="200" ht="19.5" customHeight="1">
      <c r="A200" s="8"/>
      <c r="B200" s="105"/>
      <c r="C200" s="80" t="s">
        <v>22</v>
      </c>
      <c r="D200" s="76">
        <v>349000.0</v>
      </c>
      <c r="E200" s="69" t="s">
        <v>201</v>
      </c>
      <c r="F200" s="80"/>
      <c r="G200" s="80"/>
      <c r="H200" s="80"/>
      <c r="I200" s="80"/>
      <c r="J200" s="80"/>
      <c r="K200" s="58">
        <f>D200</f>
        <v>349000</v>
      </c>
      <c r="L200" s="80"/>
      <c r="M200" s="57"/>
      <c r="N200" s="57"/>
    </row>
    <row r="201" ht="19.5" customHeight="1">
      <c r="A201" s="8"/>
      <c r="B201" s="105"/>
      <c r="C201" s="80"/>
      <c r="D201" s="110">
        <v>1189.4</v>
      </c>
      <c r="E201" s="69" t="s">
        <v>202</v>
      </c>
      <c r="F201" s="80"/>
      <c r="G201" s="80"/>
      <c r="H201" s="80"/>
      <c r="I201" s="80"/>
      <c r="J201" s="80"/>
      <c r="K201" s="57"/>
      <c r="L201" s="80"/>
      <c r="M201" s="94">
        <f>D201</f>
        <v>1189.4</v>
      </c>
      <c r="N201" s="57"/>
    </row>
    <row r="202" ht="19.5" customHeight="1">
      <c r="A202" s="8"/>
      <c r="B202" s="105"/>
      <c r="C202" s="80"/>
      <c r="D202" s="76">
        <v>10000.0</v>
      </c>
      <c r="E202" s="69" t="s">
        <v>205</v>
      </c>
      <c r="F202" s="80"/>
      <c r="G202" s="80"/>
      <c r="H202" s="80"/>
      <c r="I202" s="80"/>
      <c r="J202" s="80"/>
      <c r="K202" s="58">
        <f t="shared" ref="K202:K203" si="34">D202</f>
        <v>10000</v>
      </c>
      <c r="L202" s="80"/>
      <c r="M202" s="57"/>
      <c r="N202" s="57"/>
    </row>
    <row r="203" ht="19.5" customHeight="1">
      <c r="A203" s="8"/>
      <c r="B203" s="106"/>
      <c r="C203" s="75" t="s">
        <v>23</v>
      </c>
      <c r="D203" s="26">
        <v>365000.0</v>
      </c>
      <c r="E203" s="72" t="s">
        <v>201</v>
      </c>
      <c r="F203" s="75"/>
      <c r="G203" s="75"/>
      <c r="H203" s="75"/>
      <c r="I203" s="75"/>
      <c r="J203" s="75"/>
      <c r="K203" s="58">
        <f t="shared" si="34"/>
        <v>365000</v>
      </c>
      <c r="L203" s="75"/>
      <c r="M203" s="57"/>
      <c r="N203" s="57"/>
    </row>
    <row r="204" ht="19.5" customHeight="1">
      <c r="A204" s="8"/>
      <c r="B204" s="106"/>
      <c r="C204" s="75"/>
      <c r="D204" s="26">
        <v>1185.5</v>
      </c>
      <c r="E204" s="72" t="s">
        <v>202</v>
      </c>
      <c r="F204" s="75"/>
      <c r="G204" s="75"/>
      <c r="H204" s="75"/>
      <c r="I204" s="75"/>
      <c r="J204" s="75"/>
      <c r="K204" s="57"/>
      <c r="L204" s="75"/>
      <c r="M204" s="58">
        <f t="shared" ref="M204:M226" si="35">D204</f>
        <v>1185.5</v>
      </c>
      <c r="N204" s="57"/>
    </row>
    <row r="205" ht="19.5" customHeight="1">
      <c r="A205" s="8"/>
      <c r="B205" s="106"/>
      <c r="C205" s="75"/>
      <c r="D205" s="26">
        <v>13897.0</v>
      </c>
      <c r="E205" s="72" t="s">
        <v>157</v>
      </c>
      <c r="F205" s="75"/>
      <c r="G205" s="75"/>
      <c r="H205" s="75"/>
      <c r="I205" s="75"/>
      <c r="J205" s="75"/>
      <c r="K205" s="57"/>
      <c r="L205" s="75"/>
      <c r="M205" s="58">
        <f t="shared" si="35"/>
        <v>13897</v>
      </c>
      <c r="N205" s="57"/>
    </row>
    <row r="206" ht="19.5" customHeight="1">
      <c r="A206" s="8"/>
      <c r="B206" s="106"/>
      <c r="C206" s="75"/>
      <c r="D206" s="26">
        <v>10000.0</v>
      </c>
      <c r="E206" s="72" t="s">
        <v>205</v>
      </c>
      <c r="F206" s="75"/>
      <c r="G206" s="75"/>
      <c r="H206" s="75"/>
      <c r="I206" s="75"/>
      <c r="J206" s="75"/>
      <c r="K206" s="75"/>
      <c r="L206" s="75"/>
      <c r="M206" s="58">
        <f t="shared" si="35"/>
        <v>10000</v>
      </c>
      <c r="N206" s="57"/>
    </row>
    <row r="207" ht="19.5" customHeight="1">
      <c r="A207" s="81"/>
      <c r="B207" s="77" t="s">
        <v>8</v>
      </c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57" t="str">
        <f t="shared" si="35"/>
        <v/>
      </c>
      <c r="N207" s="82"/>
    </row>
    <row r="208" ht="19.5" customHeight="1">
      <c r="A208" s="81"/>
      <c r="B208" s="107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57" t="str">
        <f t="shared" si="35"/>
        <v/>
      </c>
      <c r="N208" s="57"/>
    </row>
    <row r="209" ht="19.5" customHeight="1">
      <c r="A209" s="81"/>
      <c r="B209" s="107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57" t="str">
        <f t="shared" si="35"/>
        <v/>
      </c>
      <c r="N209" s="57"/>
    </row>
    <row r="210" ht="19.5" customHeight="1">
      <c r="A210" s="8"/>
      <c r="B210" s="108" t="s">
        <v>206</v>
      </c>
      <c r="C210" s="80" t="s">
        <v>12</v>
      </c>
      <c r="D210" s="76"/>
      <c r="E210" s="76"/>
      <c r="F210" s="76"/>
      <c r="G210" s="76"/>
      <c r="H210" s="76"/>
      <c r="I210" s="76"/>
      <c r="J210" s="76"/>
      <c r="K210" s="76"/>
      <c r="L210" s="76"/>
      <c r="M210" s="58" t="str">
        <f t="shared" si="35"/>
        <v/>
      </c>
      <c r="N210" s="57"/>
    </row>
    <row r="211" ht="19.5" customHeight="1">
      <c r="A211" s="8"/>
      <c r="B211" s="106"/>
      <c r="C211" s="75" t="s">
        <v>13</v>
      </c>
      <c r="D211" s="26"/>
      <c r="E211" s="26"/>
      <c r="F211" s="26"/>
      <c r="G211" s="26"/>
      <c r="H211" s="26"/>
      <c r="I211" s="26"/>
      <c r="J211" s="26"/>
      <c r="K211" s="26"/>
      <c r="L211" s="26"/>
      <c r="M211" s="58" t="str">
        <f t="shared" si="35"/>
        <v/>
      </c>
      <c r="N211" s="57"/>
    </row>
    <row r="212" ht="19.5" customHeight="1">
      <c r="A212" s="8"/>
      <c r="B212" s="105"/>
      <c r="C212" s="69" t="s">
        <v>14</v>
      </c>
      <c r="D212" s="76"/>
      <c r="E212" s="76"/>
      <c r="F212" s="76"/>
      <c r="G212" s="76"/>
      <c r="H212" s="76"/>
      <c r="I212" s="76"/>
      <c r="J212" s="76"/>
      <c r="K212" s="76"/>
      <c r="L212" s="76"/>
      <c r="M212" s="58" t="str">
        <f t="shared" si="35"/>
        <v/>
      </c>
      <c r="N212" s="57"/>
    </row>
    <row r="213" ht="19.5" customHeight="1">
      <c r="A213" s="8"/>
      <c r="B213" s="106"/>
      <c r="C213" s="75" t="s">
        <v>15</v>
      </c>
      <c r="D213" s="26"/>
      <c r="E213" s="26"/>
      <c r="F213" s="26"/>
      <c r="G213" s="26"/>
      <c r="H213" s="26"/>
      <c r="I213" s="26"/>
      <c r="J213" s="26"/>
      <c r="K213" s="26"/>
      <c r="L213" s="26"/>
      <c r="M213" s="58" t="str">
        <f t="shared" si="35"/>
        <v/>
      </c>
      <c r="N213" s="57"/>
    </row>
    <row r="214" ht="19.5" customHeight="1">
      <c r="A214" s="8"/>
      <c r="B214" s="105"/>
      <c r="C214" s="80" t="s">
        <v>16</v>
      </c>
      <c r="D214" s="76"/>
      <c r="E214" s="76"/>
      <c r="F214" s="76"/>
      <c r="G214" s="76"/>
      <c r="H214" s="76"/>
      <c r="I214" s="76"/>
      <c r="J214" s="76"/>
      <c r="K214" s="76"/>
      <c r="L214" s="76"/>
      <c r="M214" s="58" t="str">
        <f t="shared" si="35"/>
        <v/>
      </c>
      <c r="N214" s="57"/>
    </row>
    <row r="215" ht="19.5" customHeight="1">
      <c r="A215" s="8"/>
      <c r="B215" s="106"/>
      <c r="C215" s="75" t="s">
        <v>17</v>
      </c>
      <c r="D215" s="75"/>
      <c r="E215" s="75"/>
      <c r="F215" s="75"/>
      <c r="G215" s="75"/>
      <c r="H215" s="75"/>
      <c r="I215" s="75"/>
      <c r="J215" s="75"/>
      <c r="K215" s="75"/>
      <c r="L215" s="75"/>
      <c r="M215" s="57" t="str">
        <f t="shared" si="35"/>
        <v/>
      </c>
      <c r="N215" s="57"/>
    </row>
    <row r="216" ht="19.5" customHeight="1">
      <c r="A216" s="8"/>
      <c r="B216" s="105"/>
      <c r="C216" s="80" t="s">
        <v>18</v>
      </c>
      <c r="D216" s="80"/>
      <c r="E216" s="80"/>
      <c r="F216" s="80"/>
      <c r="G216" s="80"/>
      <c r="H216" s="80"/>
      <c r="I216" s="80"/>
      <c r="J216" s="80"/>
      <c r="K216" s="80"/>
      <c r="L216" s="80"/>
      <c r="M216" s="57" t="str">
        <f t="shared" si="35"/>
        <v/>
      </c>
      <c r="N216" s="57"/>
    </row>
    <row r="217" ht="19.5" customHeight="1">
      <c r="A217" s="8"/>
      <c r="B217" s="106"/>
      <c r="C217" s="75" t="s">
        <v>19</v>
      </c>
      <c r="D217" s="75"/>
      <c r="E217" s="75"/>
      <c r="F217" s="75"/>
      <c r="G217" s="75"/>
      <c r="H217" s="75"/>
      <c r="I217" s="75"/>
      <c r="J217" s="75"/>
      <c r="K217" s="75"/>
      <c r="L217" s="75"/>
      <c r="M217" s="57" t="str">
        <f t="shared" si="35"/>
        <v/>
      </c>
      <c r="N217" s="57"/>
    </row>
    <row r="218" ht="19.5" customHeight="1">
      <c r="A218" s="8"/>
      <c r="B218" s="105"/>
      <c r="C218" s="80" t="s">
        <v>20</v>
      </c>
      <c r="D218" s="80"/>
      <c r="E218" s="80"/>
      <c r="F218" s="80"/>
      <c r="G218" s="80"/>
      <c r="H218" s="80"/>
      <c r="I218" s="80"/>
      <c r="J218" s="80"/>
      <c r="K218" s="80"/>
      <c r="L218" s="80"/>
      <c r="M218" s="57" t="str">
        <f t="shared" si="35"/>
        <v/>
      </c>
      <c r="N218" s="57"/>
    </row>
    <row r="219" ht="19.5" customHeight="1">
      <c r="A219" s="8"/>
      <c r="B219" s="106"/>
      <c r="C219" s="75" t="s">
        <v>21</v>
      </c>
      <c r="D219" s="75"/>
      <c r="E219" s="75"/>
      <c r="F219" s="75"/>
      <c r="G219" s="75"/>
      <c r="H219" s="75"/>
      <c r="I219" s="75"/>
      <c r="J219" s="75"/>
      <c r="K219" s="75"/>
      <c r="L219" s="75"/>
      <c r="M219" s="57" t="str">
        <f t="shared" si="35"/>
        <v/>
      </c>
      <c r="N219" s="57"/>
    </row>
    <row r="220" ht="19.5" customHeight="1">
      <c r="A220" s="8"/>
      <c r="B220" s="105"/>
      <c r="C220" s="80" t="s">
        <v>22</v>
      </c>
      <c r="D220" s="80"/>
      <c r="E220" s="80"/>
      <c r="F220" s="80"/>
      <c r="G220" s="80"/>
      <c r="H220" s="80"/>
      <c r="I220" s="80"/>
      <c r="J220" s="80"/>
      <c r="K220" s="80"/>
      <c r="L220" s="80"/>
      <c r="M220" s="57" t="str">
        <f t="shared" si="35"/>
        <v/>
      </c>
      <c r="N220" s="57"/>
    </row>
    <row r="221" ht="19.5" customHeight="1">
      <c r="A221" s="8"/>
      <c r="B221" s="106"/>
      <c r="C221" s="75" t="s">
        <v>23</v>
      </c>
      <c r="D221" s="75"/>
      <c r="E221" s="75"/>
      <c r="F221" s="75"/>
      <c r="G221" s="75"/>
      <c r="H221" s="75"/>
      <c r="I221" s="75"/>
      <c r="J221" s="75"/>
      <c r="K221" s="75"/>
      <c r="L221" s="75"/>
      <c r="M221" s="57" t="str">
        <f t="shared" si="35"/>
        <v/>
      </c>
      <c r="N221" s="57"/>
    </row>
    <row r="222" ht="19.5" customHeight="1">
      <c r="A222" s="8"/>
      <c r="B222" s="85" t="s">
        <v>8</v>
      </c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57" t="str">
        <f t="shared" si="35"/>
        <v/>
      </c>
      <c r="N222" s="75"/>
    </row>
    <row r="223" ht="19.5" customHeight="1">
      <c r="A223" s="8"/>
      <c r="B223" s="8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57" t="str">
        <f t="shared" si="35"/>
        <v/>
      </c>
      <c r="N223" s="75"/>
    </row>
    <row r="224" ht="19.5" customHeight="1">
      <c r="A224" s="8"/>
      <c r="B224" s="8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57" t="str">
        <f t="shared" si="35"/>
        <v/>
      </c>
      <c r="N224" s="75"/>
    </row>
    <row r="225" ht="19.5" customHeight="1">
      <c r="A225" s="8"/>
      <c r="B225" s="9" t="s">
        <v>11</v>
      </c>
      <c r="C225" s="20" t="s">
        <v>12</v>
      </c>
      <c r="D225" s="41">
        <v>471163.0</v>
      </c>
      <c r="E225" s="40" t="s">
        <v>131</v>
      </c>
      <c r="F225" s="86"/>
      <c r="G225" s="86"/>
      <c r="H225" s="86"/>
      <c r="I225" s="86"/>
      <c r="J225" s="86"/>
      <c r="K225" s="86"/>
      <c r="L225" s="86"/>
      <c r="M225" s="58">
        <f t="shared" si="35"/>
        <v>471163</v>
      </c>
      <c r="N225" s="87"/>
    </row>
    <row r="226" ht="19.5" customHeight="1">
      <c r="A226" s="8"/>
      <c r="B226" s="9"/>
      <c r="C226" s="20"/>
      <c r="D226" s="41">
        <v>4748.0</v>
      </c>
      <c r="E226" s="42" t="s">
        <v>207</v>
      </c>
      <c r="F226" s="86"/>
      <c r="G226" s="86"/>
      <c r="H226" s="86"/>
      <c r="I226" s="86"/>
      <c r="J226" s="86"/>
      <c r="K226" s="86"/>
      <c r="L226" s="86"/>
      <c r="M226" s="58">
        <f t="shared" si="35"/>
        <v>4748</v>
      </c>
      <c r="N226" s="87"/>
    </row>
    <row r="227" ht="19.5" customHeight="1">
      <c r="A227" s="8"/>
      <c r="B227" s="9"/>
      <c r="C227" s="20"/>
      <c r="D227" s="41">
        <v>95759.0</v>
      </c>
      <c r="E227" s="40" t="s">
        <v>173</v>
      </c>
      <c r="F227" s="58">
        <f>D227</f>
        <v>95759</v>
      </c>
      <c r="G227" s="86"/>
      <c r="H227" s="86"/>
      <c r="I227" s="86"/>
      <c r="J227" s="86"/>
      <c r="K227" s="86"/>
      <c r="L227" s="86"/>
      <c r="N227" s="87"/>
    </row>
    <row r="228" ht="19.5" customHeight="1">
      <c r="A228" s="8"/>
      <c r="B228" s="9"/>
      <c r="C228" s="20"/>
      <c r="D228" s="41">
        <v>183155.0</v>
      </c>
      <c r="E228" s="42" t="s">
        <v>208</v>
      </c>
      <c r="F228" s="86"/>
      <c r="G228" s="86"/>
      <c r="H228" s="86"/>
      <c r="I228" s="86"/>
      <c r="J228" s="86"/>
      <c r="K228" s="86"/>
      <c r="L228" s="86"/>
      <c r="M228" s="58">
        <f>D228</f>
        <v>183155</v>
      </c>
      <c r="N228" s="87"/>
    </row>
    <row r="229" ht="19.5" customHeight="1">
      <c r="A229" s="8"/>
      <c r="B229" s="9"/>
      <c r="C229" s="20"/>
      <c r="D229" s="41">
        <v>5000.0</v>
      </c>
      <c r="E229" s="40" t="s">
        <v>55</v>
      </c>
      <c r="F229" s="86"/>
      <c r="G229" s="86"/>
      <c r="H229" s="86"/>
      <c r="I229" s="58">
        <f t="shared" ref="I229:I237" si="36">D229</f>
        <v>5000</v>
      </c>
      <c r="J229" s="86"/>
      <c r="K229" s="86"/>
      <c r="L229" s="86"/>
      <c r="N229" s="87"/>
    </row>
    <row r="230" ht="19.5" customHeight="1">
      <c r="A230" s="8"/>
      <c r="B230" s="9"/>
      <c r="C230" s="20"/>
      <c r="D230" s="41">
        <v>5000.0</v>
      </c>
      <c r="E230" s="40" t="s">
        <v>56</v>
      </c>
      <c r="F230" s="86"/>
      <c r="G230" s="86"/>
      <c r="H230" s="86"/>
      <c r="I230" s="58">
        <f t="shared" si="36"/>
        <v>5000</v>
      </c>
      <c r="J230" s="86"/>
      <c r="K230" s="86"/>
      <c r="L230" s="86"/>
      <c r="N230" s="87"/>
    </row>
    <row r="231" ht="19.5" customHeight="1">
      <c r="A231" s="8"/>
      <c r="B231" s="9"/>
      <c r="C231" s="20"/>
      <c r="D231" s="41">
        <v>2500.0</v>
      </c>
      <c r="E231" s="42" t="s">
        <v>57</v>
      </c>
      <c r="F231" s="86"/>
      <c r="G231" s="86"/>
      <c r="H231" s="86"/>
      <c r="I231" s="58">
        <f t="shared" si="36"/>
        <v>2500</v>
      </c>
      <c r="J231" s="86"/>
      <c r="K231" s="86"/>
      <c r="L231" s="86"/>
      <c r="N231" s="87"/>
    </row>
    <row r="232" ht="19.5" customHeight="1">
      <c r="A232" s="8"/>
      <c r="B232" s="9"/>
      <c r="C232" s="20"/>
      <c r="D232" s="41">
        <v>5000.0</v>
      </c>
      <c r="E232" s="40" t="s">
        <v>58</v>
      </c>
      <c r="F232" s="86"/>
      <c r="G232" s="86"/>
      <c r="H232" s="86"/>
      <c r="I232" s="58">
        <f t="shared" si="36"/>
        <v>5000</v>
      </c>
      <c r="J232" s="86"/>
      <c r="K232" s="86"/>
      <c r="L232" s="86"/>
      <c r="N232" s="87"/>
    </row>
    <row r="233" ht="19.5" customHeight="1">
      <c r="A233" s="8"/>
      <c r="B233" s="9"/>
      <c r="C233" s="20"/>
      <c r="D233" s="41">
        <v>5000.0</v>
      </c>
      <c r="E233" s="40" t="s">
        <v>59</v>
      </c>
      <c r="F233" s="86"/>
      <c r="G233" s="86"/>
      <c r="H233" s="86"/>
      <c r="I233" s="58">
        <f t="shared" si="36"/>
        <v>5000</v>
      </c>
      <c r="J233" s="86"/>
      <c r="K233" s="86"/>
      <c r="L233" s="86"/>
      <c r="N233" s="87"/>
    </row>
    <row r="234" ht="19.5" customHeight="1">
      <c r="A234" s="8"/>
      <c r="B234" s="9"/>
      <c r="C234" s="20"/>
      <c r="D234" s="41">
        <v>5000.0</v>
      </c>
      <c r="E234" s="42" t="s">
        <v>60</v>
      </c>
      <c r="F234" s="86"/>
      <c r="G234" s="86"/>
      <c r="H234" s="86"/>
      <c r="I234" s="58">
        <f t="shared" si="36"/>
        <v>5000</v>
      </c>
      <c r="J234" s="86"/>
      <c r="K234" s="86"/>
      <c r="L234" s="86"/>
      <c r="N234" s="87"/>
    </row>
    <row r="235" ht="19.5" customHeight="1">
      <c r="A235" s="8"/>
      <c r="B235" s="9"/>
      <c r="C235" s="20"/>
      <c r="D235" s="41">
        <v>5000.0</v>
      </c>
      <c r="E235" s="40" t="s">
        <v>61</v>
      </c>
      <c r="F235" s="86"/>
      <c r="G235" s="86"/>
      <c r="H235" s="86"/>
      <c r="I235" s="58">
        <f t="shared" si="36"/>
        <v>5000</v>
      </c>
      <c r="J235" s="86"/>
      <c r="K235" s="86"/>
      <c r="L235" s="86"/>
      <c r="N235" s="87"/>
    </row>
    <row r="236" ht="19.5" customHeight="1">
      <c r="A236" s="8"/>
      <c r="B236" s="9"/>
      <c r="C236" s="20"/>
      <c r="D236" s="41">
        <v>2500.0</v>
      </c>
      <c r="E236" s="42" t="s">
        <v>62</v>
      </c>
      <c r="F236" s="86"/>
      <c r="G236" s="86"/>
      <c r="H236" s="86"/>
      <c r="I236" s="58">
        <f t="shared" si="36"/>
        <v>2500</v>
      </c>
      <c r="J236" s="86"/>
      <c r="K236" s="86"/>
      <c r="L236" s="86"/>
      <c r="N236" s="87"/>
    </row>
    <row r="237" ht="19.5" customHeight="1">
      <c r="A237" s="8"/>
      <c r="B237" s="9"/>
      <c r="C237" s="20"/>
      <c r="D237" s="41">
        <v>3000.0</v>
      </c>
      <c r="E237" s="40" t="s">
        <v>63</v>
      </c>
      <c r="F237" s="86"/>
      <c r="G237" s="86"/>
      <c r="H237" s="86"/>
      <c r="I237" s="58">
        <f t="shared" si="36"/>
        <v>3000</v>
      </c>
      <c r="J237" s="86"/>
      <c r="K237" s="86"/>
      <c r="L237" s="86"/>
      <c r="N237" s="87"/>
    </row>
    <row r="238" ht="19.5" customHeight="1">
      <c r="A238" s="8"/>
      <c r="B238" s="9"/>
      <c r="C238" s="20"/>
      <c r="D238" s="41">
        <v>3700.0</v>
      </c>
      <c r="E238" s="42" t="s">
        <v>139</v>
      </c>
      <c r="F238" s="86"/>
      <c r="G238" s="86"/>
      <c r="H238" s="58">
        <f t="shared" ref="H238:H243" si="37">D238</f>
        <v>3700</v>
      </c>
      <c r="I238" s="86"/>
      <c r="J238" s="86"/>
      <c r="K238" s="86"/>
      <c r="L238" s="86"/>
      <c r="N238" s="87"/>
    </row>
    <row r="239" ht="19.5" customHeight="1">
      <c r="A239" s="8"/>
      <c r="B239" s="9"/>
      <c r="C239" s="20"/>
      <c r="D239" s="41">
        <v>24350.0</v>
      </c>
      <c r="E239" s="40" t="s">
        <v>144</v>
      </c>
      <c r="F239" s="86"/>
      <c r="G239" s="86"/>
      <c r="H239" s="58">
        <f t="shared" si="37"/>
        <v>24350</v>
      </c>
      <c r="I239" s="86"/>
      <c r="J239" s="86"/>
      <c r="K239" s="86"/>
      <c r="L239" s="86"/>
      <c r="N239" s="87"/>
    </row>
    <row r="240" ht="19.5" customHeight="1">
      <c r="A240" s="8"/>
      <c r="B240" s="9"/>
      <c r="C240" s="20"/>
      <c r="D240" s="41">
        <v>23400.0</v>
      </c>
      <c r="E240" s="42" t="s">
        <v>146</v>
      </c>
      <c r="F240" s="86"/>
      <c r="G240" s="86"/>
      <c r="H240" s="58">
        <f t="shared" si="37"/>
        <v>23400</v>
      </c>
      <c r="I240" s="86"/>
      <c r="J240" s="86"/>
      <c r="K240" s="86"/>
      <c r="L240" s="86"/>
      <c r="N240" s="87"/>
    </row>
    <row r="241" ht="19.5" customHeight="1">
      <c r="A241" s="8"/>
      <c r="B241" s="9"/>
      <c r="C241" s="20"/>
      <c r="D241" s="41">
        <v>400.0</v>
      </c>
      <c r="E241" s="40" t="s">
        <v>209</v>
      </c>
      <c r="F241" s="86"/>
      <c r="G241" s="86"/>
      <c r="H241" s="58">
        <f t="shared" si="37"/>
        <v>400</v>
      </c>
      <c r="I241" s="86"/>
      <c r="J241" s="86"/>
      <c r="K241" s="86"/>
      <c r="L241" s="86"/>
      <c r="N241" s="87"/>
    </row>
    <row r="242" ht="19.5" customHeight="1">
      <c r="A242" s="8"/>
      <c r="B242" s="9"/>
      <c r="C242" s="20"/>
      <c r="D242" s="41">
        <v>3350.0</v>
      </c>
      <c r="E242" s="42" t="s">
        <v>210</v>
      </c>
      <c r="F242" s="86"/>
      <c r="G242" s="86"/>
      <c r="H242" s="58">
        <f t="shared" si="37"/>
        <v>3350</v>
      </c>
      <c r="I242" s="86"/>
      <c r="J242" s="86"/>
      <c r="K242" s="86"/>
      <c r="L242" s="86"/>
      <c r="N242" s="87"/>
    </row>
    <row r="243" ht="19.5" customHeight="1">
      <c r="A243" s="8"/>
      <c r="B243" s="9"/>
      <c r="C243" s="20"/>
      <c r="D243" s="41">
        <v>20000.0</v>
      </c>
      <c r="E243" s="40" t="s">
        <v>145</v>
      </c>
      <c r="F243" s="86"/>
      <c r="G243" s="86"/>
      <c r="H243" s="58">
        <f t="shared" si="37"/>
        <v>20000</v>
      </c>
      <c r="I243" s="86"/>
      <c r="J243" s="86"/>
      <c r="K243" s="86"/>
      <c r="L243" s="86"/>
      <c r="N243" s="87"/>
    </row>
    <row r="244" ht="19.5" customHeight="1">
      <c r="A244" s="8"/>
      <c r="B244" s="111"/>
      <c r="C244" s="23"/>
      <c r="D244" s="43">
        <v>150000.0</v>
      </c>
      <c r="E244" s="40" t="s">
        <v>211</v>
      </c>
      <c r="F244" s="39"/>
      <c r="G244" s="39"/>
      <c r="H244" s="39"/>
      <c r="I244" s="39"/>
      <c r="J244" s="39"/>
      <c r="K244" s="39"/>
      <c r="L244" s="39"/>
      <c r="M244" s="58">
        <f t="shared" ref="M244:M248" si="38">D244</f>
        <v>150000</v>
      </c>
      <c r="N244" s="88"/>
    </row>
    <row r="245" ht="19.5" customHeight="1">
      <c r="A245" s="8"/>
      <c r="B245" s="111"/>
      <c r="C245" s="23"/>
      <c r="D245" s="43">
        <v>120000.0</v>
      </c>
      <c r="E245" s="112" t="s">
        <v>212</v>
      </c>
      <c r="F245" s="39"/>
      <c r="G245" s="39"/>
      <c r="H245" s="39"/>
      <c r="I245" s="39"/>
      <c r="J245" s="39"/>
      <c r="K245" s="39"/>
      <c r="L245" s="39"/>
      <c r="M245" s="58">
        <f t="shared" si="38"/>
        <v>120000</v>
      </c>
      <c r="N245" s="88"/>
    </row>
    <row r="246" ht="19.5" customHeight="1">
      <c r="A246" s="8"/>
      <c r="B246" s="111"/>
      <c r="C246" s="23"/>
      <c r="D246" s="39"/>
      <c r="E246" s="39"/>
      <c r="F246" s="39"/>
      <c r="G246" s="39"/>
      <c r="H246" s="39"/>
      <c r="I246" s="39"/>
      <c r="J246" s="39"/>
      <c r="K246" s="39"/>
      <c r="L246" s="39"/>
      <c r="M246" s="58" t="str">
        <f t="shared" si="38"/>
        <v/>
      </c>
      <c r="N246" s="88"/>
    </row>
    <row r="247" ht="19.5" customHeight="1">
      <c r="A247" s="8"/>
      <c r="B247" s="111"/>
      <c r="C247" s="23" t="s">
        <v>13</v>
      </c>
      <c r="D247" s="43">
        <v>587603.0</v>
      </c>
      <c r="E247" s="40" t="s">
        <v>131</v>
      </c>
      <c r="F247" s="39"/>
      <c r="G247" s="39"/>
      <c r="H247" s="39"/>
      <c r="I247" s="39"/>
      <c r="J247" s="39"/>
      <c r="K247" s="39"/>
      <c r="L247" s="39"/>
      <c r="M247" s="58">
        <f t="shared" si="38"/>
        <v>587603</v>
      </c>
      <c r="N247" s="88"/>
    </row>
    <row r="248" ht="19.5" customHeight="1">
      <c r="A248" s="8"/>
      <c r="B248" s="111"/>
      <c r="C248" s="23"/>
      <c r="D248" s="43">
        <v>5900.0</v>
      </c>
      <c r="E248" s="42" t="s">
        <v>207</v>
      </c>
      <c r="F248" s="39"/>
      <c r="G248" s="39"/>
      <c r="H248" s="39"/>
      <c r="I248" s="39"/>
      <c r="J248" s="39"/>
      <c r="K248" s="39"/>
      <c r="L248" s="39"/>
      <c r="M248" s="58">
        <f t="shared" si="38"/>
        <v>5900</v>
      </c>
      <c r="N248" s="88"/>
    </row>
    <row r="249" ht="19.5" customHeight="1">
      <c r="A249" s="8"/>
      <c r="B249" s="111"/>
      <c r="C249" s="23"/>
      <c r="D249" s="43">
        <v>251726.0</v>
      </c>
      <c r="E249" s="40" t="s">
        <v>173</v>
      </c>
      <c r="F249" s="58">
        <f>D249</f>
        <v>251726</v>
      </c>
      <c r="G249" s="39"/>
      <c r="H249" s="39"/>
      <c r="I249" s="39"/>
      <c r="J249" s="39"/>
      <c r="K249" s="39"/>
      <c r="L249" s="39"/>
      <c r="N249" s="88"/>
    </row>
    <row r="250" ht="19.5" customHeight="1">
      <c r="A250" s="8"/>
      <c r="B250" s="111"/>
      <c r="C250" s="23"/>
      <c r="D250" s="43">
        <v>122810.0</v>
      </c>
      <c r="E250" s="42" t="s">
        <v>208</v>
      </c>
      <c r="F250" s="39"/>
      <c r="G250" s="39"/>
      <c r="H250" s="39"/>
      <c r="I250" s="39"/>
      <c r="J250" s="39"/>
      <c r="K250" s="39"/>
      <c r="L250" s="39"/>
      <c r="M250" s="58">
        <f>D250</f>
        <v>122810</v>
      </c>
      <c r="N250" s="88"/>
    </row>
    <row r="251" ht="19.5" customHeight="1">
      <c r="A251" s="8"/>
      <c r="B251" s="111"/>
      <c r="C251" s="23"/>
      <c r="D251" s="43">
        <v>5000.0</v>
      </c>
      <c r="E251" s="40" t="s">
        <v>55</v>
      </c>
      <c r="F251" s="39"/>
      <c r="G251" s="39"/>
      <c r="H251" s="39"/>
      <c r="I251" s="58">
        <f t="shared" ref="I251:I256" si="39">D251</f>
        <v>5000</v>
      </c>
      <c r="J251" s="39"/>
      <c r="K251" s="39"/>
      <c r="L251" s="39"/>
      <c r="N251" s="88"/>
    </row>
    <row r="252" ht="19.5" customHeight="1">
      <c r="A252" s="8"/>
      <c r="B252" s="111"/>
      <c r="C252" s="23"/>
      <c r="D252" s="43">
        <v>5000.0</v>
      </c>
      <c r="E252" s="40" t="s">
        <v>56</v>
      </c>
      <c r="F252" s="39"/>
      <c r="G252" s="39"/>
      <c r="H252" s="39"/>
      <c r="I252" s="58">
        <f t="shared" si="39"/>
        <v>5000</v>
      </c>
      <c r="J252" s="39"/>
      <c r="K252" s="39"/>
      <c r="L252" s="39"/>
      <c r="N252" s="88"/>
    </row>
    <row r="253" ht="19.5" customHeight="1">
      <c r="A253" s="8"/>
      <c r="B253" s="111"/>
      <c r="C253" s="23"/>
      <c r="D253" s="43">
        <v>5500.0</v>
      </c>
      <c r="E253" s="42" t="s">
        <v>57</v>
      </c>
      <c r="F253" s="39"/>
      <c r="G253" s="39"/>
      <c r="H253" s="39"/>
      <c r="I253" s="58">
        <f t="shared" si="39"/>
        <v>5500</v>
      </c>
      <c r="J253" s="39"/>
      <c r="K253" s="39"/>
      <c r="L253" s="39"/>
      <c r="N253" s="88"/>
    </row>
    <row r="254" ht="19.5" customHeight="1">
      <c r="A254" s="8"/>
      <c r="B254" s="111"/>
      <c r="C254" s="23"/>
      <c r="D254" s="43">
        <v>5000.0</v>
      </c>
      <c r="E254" s="40" t="s">
        <v>59</v>
      </c>
      <c r="F254" s="39"/>
      <c r="G254" s="39"/>
      <c r="H254" s="39"/>
      <c r="I254" s="58">
        <f t="shared" si="39"/>
        <v>5000</v>
      </c>
      <c r="J254" s="39"/>
      <c r="K254" s="39"/>
      <c r="L254" s="39"/>
      <c r="N254" s="88"/>
    </row>
    <row r="255" ht="19.5" customHeight="1">
      <c r="A255" s="8"/>
      <c r="B255" s="111"/>
      <c r="C255" s="23"/>
      <c r="D255" s="43">
        <v>2500.0</v>
      </c>
      <c r="E255" s="42" t="s">
        <v>62</v>
      </c>
      <c r="F255" s="39"/>
      <c r="G255" s="39"/>
      <c r="H255" s="39"/>
      <c r="I255" s="58">
        <f t="shared" si="39"/>
        <v>2500</v>
      </c>
      <c r="J255" s="39"/>
      <c r="K255" s="39"/>
      <c r="L255" s="39"/>
      <c r="N255" s="88"/>
    </row>
    <row r="256" ht="19.5" customHeight="1">
      <c r="A256" s="8"/>
      <c r="B256" s="111"/>
      <c r="C256" s="23"/>
      <c r="D256" s="43">
        <v>3000.0</v>
      </c>
      <c r="E256" s="40" t="s">
        <v>63</v>
      </c>
      <c r="F256" s="39"/>
      <c r="G256" s="39"/>
      <c r="H256" s="39"/>
      <c r="I256" s="58">
        <f t="shared" si="39"/>
        <v>3000</v>
      </c>
      <c r="J256" s="39"/>
      <c r="K256" s="39"/>
      <c r="L256" s="39"/>
      <c r="N256" s="88"/>
    </row>
    <row r="257" ht="19.5" customHeight="1">
      <c r="A257" s="8"/>
      <c r="B257" s="111"/>
      <c r="C257" s="23"/>
      <c r="D257" s="43">
        <v>3000.0</v>
      </c>
      <c r="E257" s="42" t="s">
        <v>139</v>
      </c>
      <c r="F257" s="39"/>
      <c r="G257" s="39"/>
      <c r="H257" s="58">
        <f t="shared" ref="H257:H261" si="40">D257</f>
        <v>3000</v>
      </c>
      <c r="I257" s="39"/>
      <c r="J257" s="39"/>
      <c r="K257" s="39"/>
      <c r="L257" s="39"/>
      <c r="N257" s="88"/>
    </row>
    <row r="258" ht="19.5" customHeight="1">
      <c r="A258" s="8"/>
      <c r="B258" s="111"/>
      <c r="C258" s="23"/>
      <c r="D258" s="43">
        <v>20000.0</v>
      </c>
      <c r="E258" s="40" t="s">
        <v>144</v>
      </c>
      <c r="F258" s="39"/>
      <c r="G258" s="39"/>
      <c r="H258" s="58">
        <f t="shared" si="40"/>
        <v>20000</v>
      </c>
      <c r="I258" s="39"/>
      <c r="J258" s="39"/>
      <c r="K258" s="39"/>
      <c r="L258" s="39"/>
      <c r="N258" s="88"/>
    </row>
    <row r="259" ht="19.5" customHeight="1">
      <c r="A259" s="8"/>
      <c r="B259" s="111"/>
      <c r="C259" s="23"/>
      <c r="D259" s="43">
        <v>24135.0</v>
      </c>
      <c r="E259" s="42" t="s">
        <v>146</v>
      </c>
      <c r="F259" s="39"/>
      <c r="G259" s="39"/>
      <c r="H259" s="58">
        <f t="shared" si="40"/>
        <v>24135</v>
      </c>
      <c r="I259" s="39"/>
      <c r="J259" s="39"/>
      <c r="K259" s="39"/>
      <c r="L259" s="39"/>
      <c r="N259" s="88"/>
    </row>
    <row r="260" ht="19.5" customHeight="1">
      <c r="A260" s="8"/>
      <c r="B260" s="111"/>
      <c r="C260" s="23"/>
      <c r="D260" s="43">
        <v>1280.0</v>
      </c>
      <c r="E260" s="42" t="s">
        <v>210</v>
      </c>
      <c r="F260" s="39"/>
      <c r="G260" s="39"/>
      <c r="H260" s="58">
        <f t="shared" si="40"/>
        <v>1280</v>
      </c>
      <c r="I260" s="39"/>
      <c r="J260" s="39"/>
      <c r="K260" s="39"/>
      <c r="L260" s="39"/>
      <c r="N260" s="88"/>
    </row>
    <row r="261" ht="19.5" customHeight="1">
      <c r="A261" s="8"/>
      <c r="B261" s="111"/>
      <c r="C261" s="23"/>
      <c r="D261" s="43">
        <v>67499.0</v>
      </c>
      <c r="E261" s="40" t="s">
        <v>145</v>
      </c>
      <c r="F261" s="39"/>
      <c r="G261" s="39"/>
      <c r="H261" s="58">
        <f t="shared" si="40"/>
        <v>67499</v>
      </c>
      <c r="I261" s="39"/>
      <c r="J261" s="39"/>
      <c r="K261" s="39"/>
      <c r="L261" s="39"/>
      <c r="N261" s="88"/>
    </row>
    <row r="262" ht="19.5" customHeight="1">
      <c r="A262" s="8"/>
      <c r="B262" s="111"/>
      <c r="C262" s="23"/>
      <c r="D262" s="43">
        <v>220000.0</v>
      </c>
      <c r="E262" s="40" t="s">
        <v>211</v>
      </c>
      <c r="F262" s="39"/>
      <c r="G262" s="39"/>
      <c r="H262" s="39"/>
      <c r="I262" s="39"/>
      <c r="J262" s="39"/>
      <c r="K262" s="39"/>
      <c r="L262" s="39"/>
      <c r="M262" s="58">
        <f>D262</f>
        <v>220000</v>
      </c>
      <c r="N262" s="88"/>
    </row>
    <row r="263" ht="19.5" customHeight="1">
      <c r="A263" s="8"/>
      <c r="B263" s="111"/>
      <c r="C263" s="23"/>
      <c r="D263" s="43"/>
      <c r="E263" s="40"/>
      <c r="F263" s="39"/>
      <c r="G263" s="39"/>
      <c r="H263" s="39"/>
      <c r="I263" s="39"/>
      <c r="J263" s="39"/>
      <c r="K263" s="39"/>
      <c r="L263" s="39"/>
      <c r="M263" s="57"/>
      <c r="N263" s="88"/>
    </row>
    <row r="264" ht="19.5" customHeight="1">
      <c r="A264" s="8"/>
      <c r="B264" s="113"/>
      <c r="C264" s="20" t="s">
        <v>14</v>
      </c>
      <c r="D264" s="41">
        <v>403231.0</v>
      </c>
      <c r="E264" s="40" t="s">
        <v>131</v>
      </c>
      <c r="F264" s="86"/>
      <c r="G264" s="86"/>
      <c r="H264" s="86"/>
      <c r="I264" s="86"/>
      <c r="J264" s="86"/>
      <c r="K264" s="86"/>
      <c r="L264" s="86"/>
      <c r="M264" s="58">
        <f t="shared" ref="M264:M265" si="41">D264</f>
        <v>403231</v>
      </c>
      <c r="N264" s="87"/>
    </row>
    <row r="265" ht="19.5" customHeight="1">
      <c r="A265" s="8"/>
      <c r="B265" s="113"/>
      <c r="C265" s="20"/>
      <c r="D265" s="41">
        <v>10364.0</v>
      </c>
      <c r="E265" s="42" t="s">
        <v>207</v>
      </c>
      <c r="F265" s="86"/>
      <c r="G265" s="86"/>
      <c r="H265" s="86"/>
      <c r="I265" s="86"/>
      <c r="J265" s="86"/>
      <c r="K265" s="86"/>
      <c r="L265" s="86"/>
      <c r="M265" s="58">
        <f t="shared" si="41"/>
        <v>10364</v>
      </c>
      <c r="N265" s="87"/>
    </row>
    <row r="266" ht="19.5" customHeight="1">
      <c r="A266" s="8"/>
      <c r="B266" s="113"/>
      <c r="C266" s="20"/>
      <c r="D266" s="41">
        <v>277768.0</v>
      </c>
      <c r="E266" s="40" t="s">
        <v>173</v>
      </c>
      <c r="F266" s="57"/>
      <c r="G266" s="86"/>
      <c r="H266" s="86"/>
      <c r="I266" s="86"/>
      <c r="J266" s="86"/>
      <c r="K266" s="86"/>
      <c r="L266" s="86"/>
      <c r="N266" s="87"/>
    </row>
    <row r="267" ht="19.5" customHeight="1">
      <c r="A267" s="8"/>
      <c r="B267" s="113"/>
      <c r="C267" s="20"/>
      <c r="D267" s="41">
        <v>201465.0</v>
      </c>
      <c r="E267" s="42" t="s">
        <v>208</v>
      </c>
      <c r="F267" s="86"/>
      <c r="G267" s="86"/>
      <c r="H267" s="86"/>
      <c r="I267" s="86"/>
      <c r="J267" s="86"/>
      <c r="K267" s="86"/>
      <c r="L267" s="86"/>
      <c r="M267" s="58">
        <f>D267</f>
        <v>201465</v>
      </c>
      <c r="N267" s="87"/>
    </row>
    <row r="268" ht="19.5" customHeight="1">
      <c r="A268" s="8"/>
      <c r="B268" s="113"/>
      <c r="C268" s="20"/>
      <c r="D268" s="41">
        <v>5000.0</v>
      </c>
      <c r="E268" s="40" t="s">
        <v>55</v>
      </c>
      <c r="F268" s="86"/>
      <c r="G268" s="86"/>
      <c r="H268" s="86"/>
      <c r="I268" s="58">
        <f t="shared" ref="I268:I275" si="42">D268</f>
        <v>5000</v>
      </c>
      <c r="J268" s="86"/>
      <c r="K268" s="86"/>
      <c r="L268" s="86"/>
      <c r="N268" s="87"/>
    </row>
    <row r="269" ht="19.5" customHeight="1">
      <c r="A269" s="8"/>
      <c r="B269" s="113"/>
      <c r="C269" s="20"/>
      <c r="D269" s="41">
        <v>5000.0</v>
      </c>
      <c r="E269" s="40" t="s">
        <v>56</v>
      </c>
      <c r="F269" s="86"/>
      <c r="G269" s="86"/>
      <c r="H269" s="86"/>
      <c r="I269" s="58">
        <f t="shared" si="42"/>
        <v>5000</v>
      </c>
      <c r="J269" s="86"/>
      <c r="K269" s="86"/>
      <c r="L269" s="86"/>
      <c r="N269" s="87"/>
    </row>
    <row r="270" ht="19.5" customHeight="1">
      <c r="A270" s="8"/>
      <c r="B270" s="113"/>
      <c r="C270" s="20"/>
      <c r="D270" s="41">
        <v>3000.0</v>
      </c>
      <c r="E270" s="42" t="s">
        <v>57</v>
      </c>
      <c r="F270" s="86"/>
      <c r="G270" s="86"/>
      <c r="H270" s="86"/>
      <c r="I270" s="58">
        <f t="shared" si="42"/>
        <v>3000</v>
      </c>
      <c r="J270" s="86"/>
      <c r="K270" s="86"/>
      <c r="L270" s="86"/>
      <c r="M270" s="57"/>
      <c r="N270" s="87"/>
    </row>
    <row r="271" ht="19.5" customHeight="1">
      <c r="A271" s="8"/>
      <c r="B271" s="113"/>
      <c r="C271" s="20"/>
      <c r="D271" s="41">
        <v>6000.0</v>
      </c>
      <c r="E271" s="40" t="s">
        <v>58</v>
      </c>
      <c r="F271" s="86"/>
      <c r="G271" s="86"/>
      <c r="H271" s="86"/>
      <c r="I271" s="58">
        <f t="shared" si="42"/>
        <v>6000</v>
      </c>
      <c r="J271" s="86"/>
      <c r="K271" s="86"/>
      <c r="L271" s="86"/>
      <c r="M271" s="57"/>
      <c r="N271" s="87"/>
    </row>
    <row r="272" ht="19.5" customHeight="1">
      <c r="A272" s="8"/>
      <c r="B272" s="113"/>
      <c r="C272" s="20"/>
      <c r="D272" s="41">
        <v>5000.0</v>
      </c>
      <c r="E272" s="40" t="s">
        <v>59</v>
      </c>
      <c r="F272" s="86"/>
      <c r="G272" s="86"/>
      <c r="H272" s="86"/>
      <c r="I272" s="58">
        <f t="shared" si="42"/>
        <v>5000</v>
      </c>
      <c r="J272" s="86"/>
      <c r="K272" s="86"/>
      <c r="L272" s="86"/>
      <c r="M272" s="57"/>
      <c r="N272" s="87"/>
    </row>
    <row r="273" ht="19.5" customHeight="1">
      <c r="A273" s="8"/>
      <c r="B273" s="113"/>
      <c r="C273" s="20"/>
      <c r="D273" s="41">
        <v>6000.0</v>
      </c>
      <c r="E273" s="40" t="s">
        <v>61</v>
      </c>
      <c r="F273" s="86"/>
      <c r="G273" s="86"/>
      <c r="H273" s="86"/>
      <c r="I273" s="58">
        <f t="shared" si="42"/>
        <v>6000</v>
      </c>
      <c r="J273" s="86"/>
      <c r="K273" s="86"/>
      <c r="L273" s="86"/>
      <c r="M273" s="57"/>
      <c r="N273" s="87"/>
    </row>
    <row r="274" ht="19.5" customHeight="1">
      <c r="A274" s="8"/>
      <c r="B274" s="113"/>
      <c r="C274" s="20"/>
      <c r="D274" s="41">
        <v>3000.0</v>
      </c>
      <c r="E274" s="42" t="s">
        <v>62</v>
      </c>
      <c r="F274" s="86"/>
      <c r="G274" s="86"/>
      <c r="H274" s="86"/>
      <c r="I274" s="58">
        <f t="shared" si="42"/>
        <v>3000</v>
      </c>
      <c r="J274" s="86"/>
      <c r="K274" s="86"/>
      <c r="L274" s="86"/>
      <c r="M274" s="57"/>
      <c r="N274" s="87"/>
    </row>
    <row r="275" ht="19.5" customHeight="1">
      <c r="A275" s="8"/>
      <c r="B275" s="113"/>
      <c r="C275" s="20"/>
      <c r="D275" s="41">
        <v>3000.0</v>
      </c>
      <c r="E275" s="40" t="s">
        <v>63</v>
      </c>
      <c r="F275" s="86"/>
      <c r="G275" s="86"/>
      <c r="H275" s="86"/>
      <c r="I275" s="58">
        <f t="shared" si="42"/>
        <v>3000</v>
      </c>
      <c r="J275" s="86"/>
      <c r="K275" s="86"/>
      <c r="L275" s="86"/>
      <c r="M275" s="57"/>
      <c r="N275" s="87"/>
    </row>
    <row r="276" ht="19.5" customHeight="1">
      <c r="A276" s="8"/>
      <c r="B276" s="113"/>
      <c r="C276" s="20"/>
      <c r="D276" s="41">
        <v>1700.0</v>
      </c>
      <c r="E276" s="42" t="s">
        <v>139</v>
      </c>
      <c r="F276" s="86"/>
      <c r="G276" s="86"/>
      <c r="H276" s="58">
        <f t="shared" ref="H276:H281" si="43">D276</f>
        <v>1700</v>
      </c>
      <c r="I276" s="86"/>
      <c r="J276" s="86"/>
      <c r="K276" s="86"/>
      <c r="L276" s="86"/>
      <c r="N276" s="87"/>
    </row>
    <row r="277" ht="19.5" customHeight="1">
      <c r="A277" s="8"/>
      <c r="B277" s="113"/>
      <c r="C277" s="20"/>
      <c r="D277" s="41">
        <v>25800.0</v>
      </c>
      <c r="E277" s="40" t="s">
        <v>144</v>
      </c>
      <c r="F277" s="86"/>
      <c r="G277" s="86"/>
      <c r="H277" s="58">
        <f t="shared" si="43"/>
        <v>25800</v>
      </c>
      <c r="I277" s="86"/>
      <c r="J277" s="86"/>
      <c r="K277" s="86"/>
      <c r="L277" s="86"/>
      <c r="M277" s="57"/>
      <c r="N277" s="87"/>
    </row>
    <row r="278" ht="19.5" customHeight="1">
      <c r="A278" s="8"/>
      <c r="B278" s="113"/>
      <c r="C278" s="20"/>
      <c r="D278" s="41">
        <v>21400.0</v>
      </c>
      <c r="E278" s="42" t="s">
        <v>146</v>
      </c>
      <c r="F278" s="86"/>
      <c r="G278" s="86"/>
      <c r="H278" s="58">
        <f t="shared" si="43"/>
        <v>21400</v>
      </c>
      <c r="I278" s="86"/>
      <c r="J278" s="86"/>
      <c r="K278" s="86"/>
      <c r="L278" s="86"/>
      <c r="M278" s="57"/>
      <c r="N278" s="87"/>
    </row>
    <row r="279" ht="19.5" customHeight="1">
      <c r="A279" s="8"/>
      <c r="B279" s="113"/>
      <c r="C279" s="20"/>
      <c r="D279" s="41">
        <v>350.0</v>
      </c>
      <c r="E279" s="40" t="s">
        <v>209</v>
      </c>
      <c r="F279" s="86"/>
      <c r="G279" s="86"/>
      <c r="H279" s="58">
        <f t="shared" si="43"/>
        <v>350</v>
      </c>
      <c r="I279" s="86"/>
      <c r="J279" s="86"/>
      <c r="K279" s="86"/>
      <c r="L279" s="86"/>
      <c r="M279" s="57"/>
      <c r="N279" s="87"/>
    </row>
    <row r="280" ht="19.5" customHeight="1">
      <c r="A280" s="8"/>
      <c r="B280" s="113"/>
      <c r="C280" s="20"/>
      <c r="D280" s="41">
        <v>4970.0</v>
      </c>
      <c r="E280" s="42" t="s">
        <v>210</v>
      </c>
      <c r="F280" s="86"/>
      <c r="G280" s="86"/>
      <c r="H280" s="58">
        <f t="shared" si="43"/>
        <v>4970</v>
      </c>
      <c r="I280" s="86"/>
      <c r="J280" s="86"/>
      <c r="K280" s="86"/>
      <c r="L280" s="86"/>
      <c r="M280" s="57"/>
      <c r="N280" s="87"/>
    </row>
    <row r="281" ht="19.5" customHeight="1">
      <c r="A281" s="8"/>
      <c r="B281" s="113"/>
      <c r="C281" s="20"/>
      <c r="D281" s="41">
        <v>3500.0</v>
      </c>
      <c r="E281" s="40" t="s">
        <v>145</v>
      </c>
      <c r="F281" s="86"/>
      <c r="G281" s="86"/>
      <c r="H281" s="58">
        <f t="shared" si="43"/>
        <v>3500</v>
      </c>
      <c r="I281" s="86"/>
      <c r="J281" s="86"/>
      <c r="K281" s="86"/>
      <c r="L281" s="86"/>
      <c r="M281" s="57"/>
      <c r="N281" s="87"/>
    </row>
    <row r="282" ht="19.5" customHeight="1">
      <c r="A282" s="8"/>
      <c r="B282" s="113"/>
      <c r="C282" s="20"/>
      <c r="D282" s="41">
        <v>490000.0</v>
      </c>
      <c r="E282" s="40" t="s">
        <v>211</v>
      </c>
      <c r="F282" s="86"/>
      <c r="G282" s="86"/>
      <c r="H282" s="86"/>
      <c r="I282" s="86"/>
      <c r="J282" s="86"/>
      <c r="K282" s="86"/>
      <c r="L282" s="86"/>
      <c r="M282" s="58">
        <f>D282</f>
        <v>490000</v>
      </c>
      <c r="N282" s="87"/>
    </row>
    <row r="283" ht="19.5" customHeight="1">
      <c r="A283" s="8"/>
      <c r="B283" s="113"/>
      <c r="C283" s="20"/>
      <c r="D283" s="41">
        <v>32000.0</v>
      </c>
      <c r="E283" s="41" t="s">
        <v>213</v>
      </c>
      <c r="F283" s="86"/>
      <c r="G283" s="57"/>
      <c r="H283" s="86"/>
      <c r="I283" s="86"/>
      <c r="J283" s="86"/>
      <c r="K283" s="86"/>
      <c r="L283" s="86"/>
      <c r="N283" s="87"/>
    </row>
    <row r="284" ht="19.5" customHeight="1">
      <c r="A284" s="8"/>
      <c r="B284" s="111"/>
      <c r="C284" s="23" t="s">
        <v>15</v>
      </c>
      <c r="D284" s="43">
        <v>552986.0</v>
      </c>
      <c r="E284" s="40" t="s">
        <v>131</v>
      </c>
      <c r="F284" s="39"/>
      <c r="G284" s="39"/>
      <c r="H284" s="39"/>
      <c r="I284" s="39"/>
      <c r="J284" s="39"/>
      <c r="K284" s="39"/>
      <c r="L284" s="39"/>
      <c r="M284" s="58">
        <f t="shared" ref="M284:M285" si="44">D284</f>
        <v>552986</v>
      </c>
      <c r="N284" s="88"/>
    </row>
    <row r="285" ht="19.5" customHeight="1">
      <c r="A285" s="8"/>
      <c r="B285" s="111"/>
      <c r="C285" s="23"/>
      <c r="D285" s="43">
        <v>6989.0</v>
      </c>
      <c r="E285" s="42" t="s">
        <v>207</v>
      </c>
      <c r="F285" s="39"/>
      <c r="G285" s="39"/>
      <c r="H285" s="39"/>
      <c r="I285" s="39"/>
      <c r="J285" s="39"/>
      <c r="K285" s="39"/>
      <c r="L285" s="39"/>
      <c r="M285" s="58">
        <f t="shared" si="44"/>
        <v>6989</v>
      </c>
      <c r="N285" s="88"/>
    </row>
    <row r="286" ht="19.5" customHeight="1">
      <c r="A286" s="8"/>
      <c r="B286" s="111"/>
      <c r="C286" s="23"/>
      <c r="D286" s="43">
        <v>336313.0</v>
      </c>
      <c r="E286" s="40" t="s">
        <v>173</v>
      </c>
      <c r="F286" s="57"/>
      <c r="G286" s="39"/>
      <c r="H286" s="39"/>
      <c r="I286" s="39"/>
      <c r="J286" s="39"/>
      <c r="K286" s="39"/>
      <c r="L286" s="39"/>
      <c r="N286" s="88"/>
    </row>
    <row r="287" ht="19.5" customHeight="1">
      <c r="A287" s="8"/>
      <c r="B287" s="111"/>
      <c r="C287" s="23"/>
      <c r="D287" s="43">
        <v>156350.0</v>
      </c>
      <c r="E287" s="42" t="s">
        <v>208</v>
      </c>
      <c r="F287" s="39"/>
      <c r="G287" s="39"/>
      <c r="H287" s="39"/>
      <c r="I287" s="39"/>
      <c r="J287" s="39"/>
      <c r="K287" s="39"/>
      <c r="L287" s="39"/>
      <c r="M287" s="58">
        <f>D287</f>
        <v>156350</v>
      </c>
      <c r="N287" s="88"/>
    </row>
    <row r="288" ht="19.5" customHeight="1">
      <c r="A288" s="8"/>
      <c r="B288" s="111"/>
      <c r="C288" s="23"/>
      <c r="D288" s="43">
        <v>10000.0</v>
      </c>
      <c r="E288" s="40" t="s">
        <v>55</v>
      </c>
      <c r="F288" s="39"/>
      <c r="G288" s="39"/>
      <c r="H288" s="39"/>
      <c r="I288" s="58">
        <f t="shared" ref="I288:I293" si="45">D288</f>
        <v>10000</v>
      </c>
      <c r="J288" s="39"/>
      <c r="K288" s="39"/>
      <c r="L288" s="39"/>
      <c r="N288" s="88"/>
    </row>
    <row r="289" ht="19.5" customHeight="1">
      <c r="A289" s="8"/>
      <c r="B289" s="111"/>
      <c r="C289" s="23"/>
      <c r="D289" s="43">
        <v>2000.0</v>
      </c>
      <c r="E289" s="42" t="s">
        <v>57</v>
      </c>
      <c r="F289" s="39"/>
      <c r="G289" s="39"/>
      <c r="H289" s="39"/>
      <c r="I289" s="58">
        <f t="shared" si="45"/>
        <v>2000</v>
      </c>
      <c r="J289" s="39"/>
      <c r="K289" s="39"/>
      <c r="L289" s="39"/>
      <c r="M289" s="57"/>
      <c r="N289" s="88"/>
    </row>
    <row r="290" ht="19.5" customHeight="1">
      <c r="A290" s="8"/>
      <c r="B290" s="111"/>
      <c r="C290" s="23"/>
      <c r="D290" s="43">
        <v>5000.0</v>
      </c>
      <c r="E290" s="40" t="s">
        <v>58</v>
      </c>
      <c r="F290" s="39"/>
      <c r="G290" s="39"/>
      <c r="H290" s="39"/>
      <c r="I290" s="58">
        <f t="shared" si="45"/>
        <v>5000</v>
      </c>
      <c r="J290" s="39"/>
      <c r="K290" s="39"/>
      <c r="L290" s="39"/>
      <c r="M290" s="57"/>
      <c r="N290" s="88"/>
    </row>
    <row r="291" ht="19.5" customHeight="1">
      <c r="A291" s="8"/>
      <c r="B291" s="111"/>
      <c r="C291" s="23"/>
      <c r="D291" s="43">
        <v>5000.0</v>
      </c>
      <c r="E291" s="40" t="s">
        <v>59</v>
      </c>
      <c r="F291" s="39"/>
      <c r="G291" s="39"/>
      <c r="H291" s="39"/>
      <c r="I291" s="58">
        <f t="shared" si="45"/>
        <v>5000</v>
      </c>
      <c r="J291" s="39"/>
      <c r="K291" s="39"/>
      <c r="L291" s="39"/>
      <c r="M291" s="57"/>
      <c r="N291" s="88"/>
    </row>
    <row r="292" ht="19.5" customHeight="1">
      <c r="A292" s="8"/>
      <c r="B292" s="111"/>
      <c r="C292" s="23"/>
      <c r="D292" s="43">
        <v>2000.0</v>
      </c>
      <c r="E292" s="42" t="s">
        <v>62</v>
      </c>
      <c r="F292" s="39"/>
      <c r="G292" s="39"/>
      <c r="H292" s="39"/>
      <c r="I292" s="58">
        <f t="shared" si="45"/>
        <v>2000</v>
      </c>
      <c r="J292" s="39"/>
      <c r="K292" s="39"/>
      <c r="L292" s="39"/>
      <c r="M292" s="57"/>
      <c r="N292" s="88"/>
    </row>
    <row r="293" ht="19.5" customHeight="1">
      <c r="A293" s="8"/>
      <c r="B293" s="111"/>
      <c r="C293" s="23"/>
      <c r="D293" s="43">
        <v>3000.0</v>
      </c>
      <c r="E293" s="40" t="s">
        <v>63</v>
      </c>
      <c r="F293" s="39"/>
      <c r="G293" s="39"/>
      <c r="H293" s="39"/>
      <c r="I293" s="58">
        <f t="shared" si="45"/>
        <v>3000</v>
      </c>
      <c r="J293" s="39"/>
      <c r="K293" s="39"/>
      <c r="L293" s="39"/>
      <c r="M293" s="57"/>
      <c r="N293" s="88"/>
    </row>
    <row r="294" ht="19.5" customHeight="1">
      <c r="A294" s="8"/>
      <c r="B294" s="111"/>
      <c r="C294" s="23"/>
      <c r="D294" s="43">
        <v>2000.0</v>
      </c>
      <c r="E294" s="42" t="s">
        <v>139</v>
      </c>
      <c r="F294" s="39"/>
      <c r="G294" s="39"/>
      <c r="H294" s="58">
        <f t="shared" ref="H294:H298" si="46">D294</f>
        <v>2000</v>
      </c>
      <c r="I294" s="39"/>
      <c r="J294" s="39"/>
      <c r="K294" s="39"/>
      <c r="L294" s="39"/>
      <c r="N294" s="88"/>
    </row>
    <row r="295" ht="19.5" customHeight="1">
      <c r="A295" s="8"/>
      <c r="B295" s="111"/>
      <c r="C295" s="23"/>
      <c r="D295" s="43">
        <v>30000.0</v>
      </c>
      <c r="E295" s="42" t="s">
        <v>146</v>
      </c>
      <c r="F295" s="39"/>
      <c r="G295" s="39"/>
      <c r="H295" s="58">
        <f t="shared" si="46"/>
        <v>30000</v>
      </c>
      <c r="I295" s="39"/>
      <c r="J295" s="39"/>
      <c r="K295" s="39"/>
      <c r="L295" s="39"/>
      <c r="N295" s="88"/>
    </row>
    <row r="296" ht="19.5" customHeight="1">
      <c r="A296" s="8"/>
      <c r="B296" s="111"/>
      <c r="C296" s="23"/>
      <c r="D296" s="43">
        <v>380.0</v>
      </c>
      <c r="E296" s="40" t="s">
        <v>209</v>
      </c>
      <c r="F296" s="39"/>
      <c r="G296" s="39"/>
      <c r="H296" s="58">
        <f t="shared" si="46"/>
        <v>380</v>
      </c>
      <c r="I296" s="39"/>
      <c r="J296" s="39"/>
      <c r="K296" s="39"/>
      <c r="L296" s="39"/>
      <c r="N296" s="88"/>
    </row>
    <row r="297" ht="19.5" customHeight="1">
      <c r="A297" s="8"/>
      <c r="B297" s="111"/>
      <c r="C297" s="23"/>
      <c r="D297" s="43">
        <v>2500.0</v>
      </c>
      <c r="E297" s="42" t="s">
        <v>210</v>
      </c>
      <c r="F297" s="39"/>
      <c r="G297" s="39"/>
      <c r="H297" s="58">
        <f t="shared" si="46"/>
        <v>2500</v>
      </c>
      <c r="I297" s="39"/>
      <c r="J297" s="39"/>
      <c r="K297" s="39"/>
      <c r="L297" s="39"/>
      <c r="N297" s="88"/>
    </row>
    <row r="298" ht="19.5" customHeight="1">
      <c r="A298" s="8"/>
      <c r="B298" s="111"/>
      <c r="C298" s="23"/>
      <c r="D298" s="43">
        <v>28850.0</v>
      </c>
      <c r="E298" s="40" t="s">
        <v>145</v>
      </c>
      <c r="F298" s="39"/>
      <c r="G298" s="39"/>
      <c r="H298" s="58">
        <f t="shared" si="46"/>
        <v>28850</v>
      </c>
      <c r="I298" s="39"/>
      <c r="J298" s="39"/>
      <c r="K298" s="39"/>
      <c r="L298" s="39"/>
      <c r="N298" s="88"/>
    </row>
    <row r="299" ht="19.5" customHeight="1">
      <c r="A299" s="8"/>
      <c r="B299" s="111"/>
      <c r="C299" s="23"/>
      <c r="D299" s="43">
        <v>956000.0</v>
      </c>
      <c r="E299" s="40" t="s">
        <v>211</v>
      </c>
      <c r="F299" s="39"/>
      <c r="G299" s="39"/>
      <c r="H299" s="39"/>
      <c r="I299" s="39"/>
      <c r="J299" s="39"/>
      <c r="K299" s="39"/>
      <c r="L299" s="39"/>
      <c r="M299" s="58">
        <f t="shared" ref="M299:M304" si="47">D299</f>
        <v>956000</v>
      </c>
      <c r="N299" s="88"/>
    </row>
    <row r="300" ht="19.5" customHeight="1">
      <c r="A300" s="8"/>
      <c r="B300" s="111"/>
      <c r="C300" s="23"/>
      <c r="D300" s="39"/>
      <c r="E300" s="39"/>
      <c r="F300" s="39"/>
      <c r="G300" s="39"/>
      <c r="H300" s="39"/>
      <c r="I300" s="39"/>
      <c r="J300" s="39"/>
      <c r="K300" s="39"/>
      <c r="L300" s="39"/>
      <c r="M300" s="58" t="str">
        <f t="shared" si="47"/>
        <v/>
      </c>
      <c r="N300" s="88"/>
    </row>
    <row r="301" ht="19.5" customHeight="1">
      <c r="A301" s="8"/>
      <c r="B301" s="113"/>
      <c r="C301" s="20" t="s">
        <v>16</v>
      </c>
      <c r="D301" s="41">
        <v>501939.0</v>
      </c>
      <c r="E301" s="42" t="s">
        <v>131</v>
      </c>
      <c r="F301" s="86"/>
      <c r="G301" s="86"/>
      <c r="H301" s="86"/>
      <c r="I301" s="86"/>
      <c r="J301" s="86"/>
      <c r="K301" s="86"/>
      <c r="L301" s="86"/>
      <c r="M301" s="58">
        <f t="shared" si="47"/>
        <v>501939</v>
      </c>
      <c r="N301" s="87"/>
    </row>
    <row r="302" ht="19.5" customHeight="1">
      <c r="A302" s="8"/>
      <c r="B302" s="113"/>
      <c r="C302" s="20"/>
      <c r="D302" s="41">
        <v>6768.0</v>
      </c>
      <c r="E302" s="40" t="s">
        <v>207</v>
      </c>
      <c r="F302" s="86"/>
      <c r="G302" s="86"/>
      <c r="H302" s="86"/>
      <c r="I302" s="86"/>
      <c r="J302" s="86"/>
      <c r="K302" s="86"/>
      <c r="L302" s="86"/>
      <c r="M302" s="58">
        <f t="shared" si="47"/>
        <v>6768</v>
      </c>
      <c r="N302" s="87"/>
    </row>
    <row r="303" ht="19.5" customHeight="1">
      <c r="A303" s="8"/>
      <c r="B303" s="113"/>
      <c r="C303" s="20"/>
      <c r="D303" s="41">
        <v>438642.0</v>
      </c>
      <c r="E303" s="42" t="s">
        <v>173</v>
      </c>
      <c r="F303" s="86"/>
      <c r="G303" s="86"/>
      <c r="H303" s="86"/>
      <c r="I303" s="86"/>
      <c r="J303" s="86"/>
      <c r="K303" s="86"/>
      <c r="L303" s="86"/>
      <c r="M303" s="58">
        <f t="shared" si="47"/>
        <v>438642</v>
      </c>
      <c r="N303" s="87"/>
    </row>
    <row r="304" ht="19.5" customHeight="1">
      <c r="A304" s="8"/>
      <c r="B304" s="113"/>
      <c r="C304" s="20"/>
      <c r="D304" s="41">
        <v>136565.0</v>
      </c>
      <c r="E304" s="40" t="s">
        <v>208</v>
      </c>
      <c r="F304" s="86"/>
      <c r="G304" s="86"/>
      <c r="H304" s="86"/>
      <c r="I304" s="86"/>
      <c r="J304" s="86"/>
      <c r="K304" s="86"/>
      <c r="L304" s="86"/>
      <c r="M304" s="58">
        <f t="shared" si="47"/>
        <v>136565</v>
      </c>
      <c r="N304" s="87"/>
    </row>
    <row r="305" ht="19.5" customHeight="1">
      <c r="A305" s="8"/>
      <c r="B305" s="113"/>
      <c r="C305" s="20"/>
      <c r="D305" s="41">
        <v>3000.0</v>
      </c>
      <c r="E305" s="42" t="s">
        <v>55</v>
      </c>
      <c r="F305" s="86"/>
      <c r="G305" s="86"/>
      <c r="H305" s="86"/>
      <c r="I305" s="58">
        <f t="shared" ref="I305:I312" si="48">D305</f>
        <v>3000</v>
      </c>
      <c r="K305" s="86"/>
      <c r="L305" s="86"/>
      <c r="N305" s="87"/>
    </row>
    <row r="306" ht="19.5" customHeight="1">
      <c r="A306" s="8"/>
      <c r="B306" s="113"/>
      <c r="C306" s="20"/>
      <c r="D306" s="41">
        <v>9000.0</v>
      </c>
      <c r="E306" s="42" t="s">
        <v>56</v>
      </c>
      <c r="F306" s="86"/>
      <c r="G306" s="86"/>
      <c r="H306" s="86"/>
      <c r="I306" s="58">
        <f t="shared" si="48"/>
        <v>9000</v>
      </c>
      <c r="K306" s="86"/>
      <c r="L306" s="86"/>
      <c r="N306" s="87"/>
    </row>
    <row r="307" ht="19.5" customHeight="1">
      <c r="A307" s="8"/>
      <c r="B307" s="113"/>
      <c r="C307" s="20"/>
      <c r="D307" s="41">
        <v>2000.0</v>
      </c>
      <c r="E307" s="40" t="s">
        <v>57</v>
      </c>
      <c r="F307" s="86"/>
      <c r="G307" s="86"/>
      <c r="H307" s="86"/>
      <c r="I307" s="58">
        <f t="shared" si="48"/>
        <v>2000</v>
      </c>
      <c r="K307" s="86"/>
      <c r="L307" s="86"/>
      <c r="N307" s="87"/>
    </row>
    <row r="308" ht="19.5" customHeight="1">
      <c r="A308" s="8"/>
      <c r="B308" s="113"/>
      <c r="C308" s="20"/>
      <c r="D308" s="41">
        <v>5000.0</v>
      </c>
      <c r="E308" s="42" t="s">
        <v>58</v>
      </c>
      <c r="F308" s="86"/>
      <c r="G308" s="86"/>
      <c r="H308" s="86"/>
      <c r="I308" s="58">
        <f t="shared" si="48"/>
        <v>5000</v>
      </c>
      <c r="K308" s="86"/>
      <c r="L308" s="86"/>
      <c r="N308" s="87"/>
    </row>
    <row r="309" ht="19.5" customHeight="1">
      <c r="A309" s="8"/>
      <c r="B309" s="113"/>
      <c r="C309" s="20"/>
      <c r="D309" s="41">
        <v>5000.0</v>
      </c>
      <c r="E309" s="42" t="s">
        <v>59</v>
      </c>
      <c r="F309" s="86"/>
      <c r="G309" s="86"/>
      <c r="H309" s="86"/>
      <c r="I309" s="58">
        <f t="shared" si="48"/>
        <v>5000</v>
      </c>
      <c r="K309" s="86"/>
      <c r="L309" s="86"/>
      <c r="N309" s="87"/>
    </row>
    <row r="310" ht="19.5" customHeight="1">
      <c r="A310" s="8"/>
      <c r="B310" s="113"/>
      <c r="C310" s="20"/>
      <c r="D310" s="41">
        <v>5000.0</v>
      </c>
      <c r="E310" s="40" t="s">
        <v>60</v>
      </c>
      <c r="F310" s="86"/>
      <c r="G310" s="86"/>
      <c r="H310" s="86"/>
      <c r="I310" s="58">
        <f t="shared" si="48"/>
        <v>5000</v>
      </c>
      <c r="K310" s="86"/>
      <c r="L310" s="86"/>
      <c r="N310" s="87"/>
    </row>
    <row r="311" ht="19.5" customHeight="1">
      <c r="A311" s="8"/>
      <c r="B311" s="113"/>
      <c r="C311" s="20"/>
      <c r="D311" s="41">
        <v>4000.0</v>
      </c>
      <c r="E311" s="40" t="s">
        <v>62</v>
      </c>
      <c r="F311" s="86"/>
      <c r="G311" s="86"/>
      <c r="H311" s="86"/>
      <c r="I311" s="58">
        <f t="shared" si="48"/>
        <v>4000</v>
      </c>
      <c r="K311" s="86"/>
      <c r="L311" s="86"/>
      <c r="N311" s="87"/>
    </row>
    <row r="312" ht="19.5" customHeight="1">
      <c r="A312" s="8"/>
      <c r="B312" s="113"/>
      <c r="C312" s="20"/>
      <c r="D312" s="41">
        <v>3000.0</v>
      </c>
      <c r="E312" s="42" t="s">
        <v>63</v>
      </c>
      <c r="F312" s="86"/>
      <c r="G312" s="86"/>
      <c r="H312" s="86"/>
      <c r="I312" s="58">
        <f t="shared" si="48"/>
        <v>3000</v>
      </c>
      <c r="K312" s="86"/>
      <c r="L312" s="86"/>
      <c r="N312" s="87"/>
    </row>
    <row r="313" ht="19.5" customHeight="1">
      <c r="A313" s="8"/>
      <c r="B313" s="113"/>
      <c r="C313" s="20"/>
      <c r="D313" s="41">
        <v>3000.0</v>
      </c>
      <c r="E313" s="40" t="s">
        <v>139</v>
      </c>
      <c r="F313" s="86"/>
      <c r="G313" s="86"/>
      <c r="H313" s="58">
        <f t="shared" ref="H313:H318" si="49">D313</f>
        <v>3000</v>
      </c>
      <c r="J313" s="86"/>
      <c r="K313" s="86"/>
      <c r="L313" s="86"/>
      <c r="N313" s="87"/>
    </row>
    <row r="314" ht="19.5" customHeight="1">
      <c r="A314" s="8"/>
      <c r="B314" s="113"/>
      <c r="C314" s="20"/>
      <c r="D314" s="41">
        <v>31035.0</v>
      </c>
      <c r="E314" s="42" t="s">
        <v>144</v>
      </c>
      <c r="F314" s="86"/>
      <c r="G314" s="86"/>
      <c r="H314" s="58">
        <f t="shared" si="49"/>
        <v>31035</v>
      </c>
      <c r="J314" s="86"/>
      <c r="K314" s="86"/>
      <c r="L314" s="86"/>
      <c r="N314" s="87"/>
    </row>
    <row r="315" ht="19.5" customHeight="1">
      <c r="A315" s="8"/>
      <c r="B315" s="113"/>
      <c r="C315" s="20"/>
      <c r="D315" s="41">
        <v>25000.0</v>
      </c>
      <c r="E315" s="40" t="s">
        <v>146</v>
      </c>
      <c r="F315" s="86"/>
      <c r="G315" s="86"/>
      <c r="H315" s="58">
        <f t="shared" si="49"/>
        <v>25000</v>
      </c>
      <c r="J315" s="86"/>
      <c r="K315" s="86"/>
      <c r="L315" s="86"/>
      <c r="N315" s="87"/>
    </row>
    <row r="316" ht="19.5" customHeight="1">
      <c r="A316" s="8"/>
      <c r="B316" s="113"/>
      <c r="C316" s="20"/>
      <c r="D316" s="41">
        <v>400.0</v>
      </c>
      <c r="E316" s="42" t="s">
        <v>209</v>
      </c>
      <c r="F316" s="86"/>
      <c r="G316" s="86"/>
      <c r="H316" s="58">
        <f t="shared" si="49"/>
        <v>400</v>
      </c>
      <c r="J316" s="86"/>
      <c r="K316" s="86"/>
      <c r="L316" s="86"/>
      <c r="N316" s="87"/>
    </row>
    <row r="317" ht="19.5" customHeight="1">
      <c r="A317" s="8"/>
      <c r="B317" s="113"/>
      <c r="C317" s="20"/>
      <c r="D317" s="41">
        <v>1000.0</v>
      </c>
      <c r="E317" s="40" t="s">
        <v>210</v>
      </c>
      <c r="F317" s="86"/>
      <c r="G317" s="86"/>
      <c r="H317" s="58">
        <f t="shared" si="49"/>
        <v>1000</v>
      </c>
      <c r="J317" s="86"/>
      <c r="K317" s="86"/>
      <c r="L317" s="86"/>
      <c r="N317" s="87"/>
    </row>
    <row r="318" ht="19.5" customHeight="1">
      <c r="A318" s="8"/>
      <c r="B318" s="113"/>
      <c r="C318" s="20"/>
      <c r="D318" s="41">
        <v>10300.0</v>
      </c>
      <c r="E318" s="42" t="s">
        <v>145</v>
      </c>
      <c r="F318" s="86"/>
      <c r="G318" s="86"/>
      <c r="H318" s="58">
        <f t="shared" si="49"/>
        <v>10300</v>
      </c>
      <c r="J318" s="86"/>
      <c r="K318" s="86"/>
      <c r="L318" s="86"/>
      <c r="N318" s="87"/>
    </row>
    <row r="319" ht="19.5" customHeight="1">
      <c r="A319" s="8"/>
      <c r="B319" s="113"/>
      <c r="C319" s="20"/>
      <c r="D319" s="41">
        <v>500000.0</v>
      </c>
      <c r="E319" s="42" t="s">
        <v>211</v>
      </c>
      <c r="F319" s="86"/>
      <c r="G319" s="86"/>
      <c r="H319" s="86"/>
      <c r="I319" s="86"/>
      <c r="J319" s="86"/>
      <c r="K319" s="86"/>
      <c r="L319" s="86"/>
      <c r="M319" s="58">
        <f t="shared" ref="M319:M322" si="50">D319</f>
        <v>500000</v>
      </c>
      <c r="N319" s="87"/>
    </row>
    <row r="320" ht="19.5" customHeight="1">
      <c r="A320" s="8"/>
      <c r="B320" s="113"/>
      <c r="C320" s="20"/>
      <c r="D320" s="86"/>
      <c r="E320" s="86"/>
      <c r="F320" s="86"/>
      <c r="G320" s="86"/>
      <c r="H320" s="86"/>
      <c r="I320" s="86"/>
      <c r="J320" s="86"/>
      <c r="K320" s="86"/>
      <c r="L320" s="86"/>
      <c r="M320" s="58" t="str">
        <f t="shared" si="50"/>
        <v/>
      </c>
      <c r="N320" s="87"/>
    </row>
    <row r="321" ht="19.5" customHeight="1">
      <c r="A321" s="8"/>
      <c r="B321" s="111"/>
      <c r="C321" s="23" t="s">
        <v>17</v>
      </c>
      <c r="D321" s="52">
        <v>258264.0</v>
      </c>
      <c r="E321" s="44" t="s">
        <v>131</v>
      </c>
      <c r="F321" s="47"/>
      <c r="G321" s="114"/>
      <c r="H321" s="114"/>
      <c r="I321" s="114"/>
      <c r="J321" s="114"/>
      <c r="K321" s="114"/>
      <c r="L321" s="114"/>
      <c r="M321" s="58">
        <f t="shared" si="50"/>
        <v>258264</v>
      </c>
      <c r="N321" s="115"/>
    </row>
    <row r="322" ht="19.5" customHeight="1">
      <c r="A322" s="8"/>
      <c r="B322" s="111"/>
      <c r="C322" s="23"/>
      <c r="D322" s="116">
        <v>5393.5</v>
      </c>
      <c r="E322" s="47" t="s">
        <v>207</v>
      </c>
      <c r="F322" s="47"/>
      <c r="G322" s="114"/>
      <c r="H322" s="114"/>
      <c r="I322" s="114"/>
      <c r="J322" s="114"/>
      <c r="K322" s="114"/>
      <c r="L322" s="114"/>
      <c r="M322" s="94">
        <f t="shared" si="50"/>
        <v>5393.5</v>
      </c>
      <c r="N322" s="115"/>
    </row>
    <row r="323" ht="19.5" customHeight="1">
      <c r="A323" s="8"/>
      <c r="B323" s="111"/>
      <c r="C323" s="23"/>
      <c r="D323" s="52">
        <v>270753.0</v>
      </c>
      <c r="E323" s="44" t="s">
        <v>173</v>
      </c>
      <c r="F323" s="57"/>
      <c r="G323" s="114"/>
      <c r="H323" s="114"/>
      <c r="I323" s="114"/>
      <c r="J323" s="114"/>
      <c r="K323" s="114"/>
      <c r="L323" s="114"/>
      <c r="N323" s="115"/>
    </row>
    <row r="324" ht="19.5" customHeight="1">
      <c r="A324" s="8"/>
      <c r="B324" s="111"/>
      <c r="C324" s="23"/>
      <c r="D324" s="52">
        <v>329176.0</v>
      </c>
      <c r="E324" s="47" t="s">
        <v>208</v>
      </c>
      <c r="F324" s="47"/>
      <c r="G324" s="114"/>
      <c r="H324" s="114"/>
      <c r="I324" s="114"/>
      <c r="J324" s="114"/>
      <c r="K324" s="114"/>
      <c r="L324" s="114"/>
      <c r="M324" s="58">
        <f>D324</f>
        <v>329176</v>
      </c>
      <c r="N324" s="115"/>
    </row>
    <row r="325" ht="19.5" customHeight="1">
      <c r="A325" s="8"/>
      <c r="B325" s="111"/>
      <c r="C325" s="23"/>
      <c r="D325" s="52">
        <v>5000.0</v>
      </c>
      <c r="E325" s="44" t="s">
        <v>55</v>
      </c>
      <c r="F325" s="47"/>
      <c r="G325" s="114"/>
      <c r="H325" s="114"/>
      <c r="I325" s="58">
        <f t="shared" ref="I325:I332" si="51">D325</f>
        <v>5000</v>
      </c>
      <c r="K325" s="114"/>
      <c r="L325" s="114"/>
      <c r="N325" s="115"/>
    </row>
    <row r="326" ht="19.5" customHeight="1">
      <c r="A326" s="8"/>
      <c r="B326" s="111"/>
      <c r="C326" s="23"/>
      <c r="D326" s="52">
        <v>5000.0</v>
      </c>
      <c r="E326" s="44" t="s">
        <v>56</v>
      </c>
      <c r="F326" s="47"/>
      <c r="G326" s="114"/>
      <c r="H326" s="114"/>
      <c r="I326" s="58">
        <f t="shared" si="51"/>
        <v>5000</v>
      </c>
      <c r="K326" s="114"/>
      <c r="L326" s="114"/>
      <c r="N326" s="115"/>
    </row>
    <row r="327" ht="19.5" customHeight="1">
      <c r="A327" s="8"/>
      <c r="B327" s="111"/>
      <c r="C327" s="23"/>
      <c r="D327" s="52">
        <v>3000.0</v>
      </c>
      <c r="E327" s="47" t="s">
        <v>57</v>
      </c>
      <c r="F327" s="47"/>
      <c r="G327" s="114"/>
      <c r="H327" s="114"/>
      <c r="I327" s="58">
        <f t="shared" si="51"/>
        <v>3000</v>
      </c>
      <c r="K327" s="114"/>
      <c r="L327" s="114"/>
      <c r="N327" s="115"/>
    </row>
    <row r="328" ht="19.5" customHeight="1">
      <c r="A328" s="8"/>
      <c r="B328" s="111"/>
      <c r="C328" s="23"/>
      <c r="D328" s="52">
        <v>5000.0</v>
      </c>
      <c r="E328" s="44" t="s">
        <v>58</v>
      </c>
      <c r="F328" s="47"/>
      <c r="G328" s="114"/>
      <c r="H328" s="114"/>
      <c r="I328" s="58">
        <f t="shared" si="51"/>
        <v>5000</v>
      </c>
      <c r="K328" s="114"/>
      <c r="L328" s="114"/>
      <c r="N328" s="115"/>
    </row>
    <row r="329" ht="19.5" customHeight="1">
      <c r="A329" s="8"/>
      <c r="B329" s="111"/>
      <c r="C329" s="23"/>
      <c r="D329" s="52">
        <v>5000.0</v>
      </c>
      <c r="E329" s="44" t="s">
        <v>59</v>
      </c>
      <c r="F329" s="47"/>
      <c r="G329" s="114"/>
      <c r="H329" s="114"/>
      <c r="I329" s="58">
        <f t="shared" si="51"/>
        <v>5000</v>
      </c>
      <c r="K329" s="114"/>
      <c r="L329" s="114"/>
      <c r="N329" s="115"/>
    </row>
    <row r="330" ht="19.5" customHeight="1">
      <c r="A330" s="8"/>
      <c r="B330" s="111"/>
      <c r="C330" s="23"/>
      <c r="D330" s="52">
        <v>5000.0</v>
      </c>
      <c r="E330" s="48" t="s">
        <v>61</v>
      </c>
      <c r="F330" s="47"/>
      <c r="G330" s="114"/>
      <c r="H330" s="114"/>
      <c r="I330" s="58">
        <f t="shared" si="51"/>
        <v>5000</v>
      </c>
      <c r="K330" s="114"/>
      <c r="L330" s="114"/>
      <c r="N330" s="115"/>
    </row>
    <row r="331" ht="19.5" customHeight="1">
      <c r="A331" s="8"/>
      <c r="B331" s="111"/>
      <c r="C331" s="23"/>
      <c r="D331" s="52">
        <v>2000.0</v>
      </c>
      <c r="E331" s="44" t="s">
        <v>62</v>
      </c>
      <c r="F331" s="47"/>
      <c r="G331" s="114"/>
      <c r="H331" s="114"/>
      <c r="I331" s="58">
        <f t="shared" si="51"/>
        <v>2000</v>
      </c>
      <c r="K331" s="114"/>
      <c r="L331" s="114"/>
      <c r="N331" s="115"/>
    </row>
    <row r="332" ht="19.5" customHeight="1">
      <c r="A332" s="8"/>
      <c r="B332" s="111"/>
      <c r="C332" s="23"/>
      <c r="D332" s="52">
        <v>3000.0</v>
      </c>
      <c r="E332" s="9" t="s">
        <v>63</v>
      </c>
      <c r="F332" s="47"/>
      <c r="G332" s="114"/>
      <c r="H332" s="114"/>
      <c r="I332" s="58">
        <f t="shared" si="51"/>
        <v>3000</v>
      </c>
      <c r="K332" s="114"/>
      <c r="L332" s="114"/>
      <c r="N332" s="115"/>
    </row>
    <row r="333" ht="19.5" customHeight="1">
      <c r="A333" s="8"/>
      <c r="B333" s="111"/>
      <c r="C333" s="23"/>
      <c r="D333" s="52">
        <v>2060.0</v>
      </c>
      <c r="E333" s="47" t="s">
        <v>139</v>
      </c>
      <c r="F333" s="47"/>
      <c r="G333" s="114"/>
      <c r="H333" s="58">
        <f t="shared" ref="H333:H338" si="52">D333</f>
        <v>2060</v>
      </c>
      <c r="J333" s="114"/>
      <c r="K333" s="114"/>
      <c r="L333" s="114"/>
      <c r="N333" s="115"/>
    </row>
    <row r="334" ht="19.5" customHeight="1">
      <c r="A334" s="8"/>
      <c r="B334" s="111"/>
      <c r="C334" s="23"/>
      <c r="D334" s="52">
        <v>22608.0</v>
      </c>
      <c r="E334" s="44" t="s">
        <v>144</v>
      </c>
      <c r="F334" s="47"/>
      <c r="G334" s="114"/>
      <c r="H334" s="58">
        <f t="shared" si="52"/>
        <v>22608</v>
      </c>
      <c r="J334" s="114"/>
      <c r="K334" s="114"/>
      <c r="L334" s="114"/>
      <c r="N334" s="115"/>
    </row>
    <row r="335" ht="19.5" customHeight="1">
      <c r="A335" s="8"/>
      <c r="B335" s="111"/>
      <c r="C335" s="23"/>
      <c r="D335" s="52">
        <v>27700.0</v>
      </c>
      <c r="E335" s="47" t="s">
        <v>146</v>
      </c>
      <c r="F335" s="47"/>
      <c r="G335" s="114"/>
      <c r="H335" s="58">
        <f t="shared" si="52"/>
        <v>27700</v>
      </c>
      <c r="J335" s="114"/>
      <c r="K335" s="114"/>
      <c r="L335" s="114"/>
      <c r="N335" s="115"/>
    </row>
    <row r="336" ht="19.5" customHeight="1">
      <c r="A336" s="8"/>
      <c r="B336" s="111"/>
      <c r="C336" s="23"/>
      <c r="D336" s="11">
        <v>400.0</v>
      </c>
      <c r="E336" s="44" t="s">
        <v>209</v>
      </c>
      <c r="F336" s="47"/>
      <c r="G336" s="114"/>
      <c r="H336" s="57">
        <f t="shared" si="52"/>
        <v>400</v>
      </c>
      <c r="J336" s="114"/>
      <c r="K336" s="114"/>
      <c r="L336" s="114"/>
      <c r="N336" s="115"/>
    </row>
    <row r="337" ht="19.5" customHeight="1">
      <c r="A337" s="8"/>
      <c r="B337" s="111"/>
      <c r="C337" s="23"/>
      <c r="D337" s="11">
        <v>400.0</v>
      </c>
      <c r="E337" s="47" t="s">
        <v>210</v>
      </c>
      <c r="F337" s="47"/>
      <c r="G337" s="114"/>
      <c r="H337" s="57">
        <f t="shared" si="52"/>
        <v>400</v>
      </c>
      <c r="J337" s="114"/>
      <c r="K337" s="114"/>
      <c r="L337" s="114"/>
      <c r="N337" s="115"/>
    </row>
    <row r="338" ht="19.5" customHeight="1">
      <c r="A338" s="8"/>
      <c r="B338" s="111"/>
      <c r="C338" s="23"/>
      <c r="D338" s="52">
        <v>16200.0</v>
      </c>
      <c r="E338" s="44" t="s">
        <v>145</v>
      </c>
      <c r="F338" s="47"/>
      <c r="G338" s="114"/>
      <c r="H338" s="58">
        <f t="shared" si="52"/>
        <v>16200</v>
      </c>
      <c r="J338" s="114"/>
      <c r="K338" s="114"/>
      <c r="L338" s="114"/>
      <c r="N338" s="115"/>
    </row>
    <row r="339" ht="19.5" customHeight="1">
      <c r="A339" s="8"/>
      <c r="B339" s="111"/>
      <c r="C339" s="23"/>
      <c r="D339" s="52">
        <v>200000.0</v>
      </c>
      <c r="E339" s="44" t="s">
        <v>211</v>
      </c>
      <c r="F339" s="47"/>
      <c r="G339" s="114"/>
      <c r="H339" s="114"/>
      <c r="I339" s="114"/>
      <c r="J339" s="114"/>
      <c r="K339" s="114"/>
      <c r="L339" s="114"/>
      <c r="M339" s="58">
        <f t="shared" ref="M339:M343" si="53">D339</f>
        <v>200000</v>
      </c>
      <c r="N339" s="115"/>
    </row>
    <row r="340" ht="19.5" customHeight="1">
      <c r="A340" s="8"/>
      <c r="B340" s="111"/>
      <c r="C340" s="23"/>
      <c r="D340" s="114"/>
      <c r="E340" s="47"/>
      <c r="F340" s="47"/>
      <c r="G340" s="114"/>
      <c r="H340" s="114"/>
      <c r="I340" s="114"/>
      <c r="J340" s="114"/>
      <c r="K340" s="114"/>
      <c r="L340" s="114"/>
      <c r="M340" s="57" t="str">
        <f t="shared" si="53"/>
        <v/>
      </c>
      <c r="N340" s="115"/>
    </row>
    <row r="341" ht="19.5" customHeight="1">
      <c r="A341" s="8"/>
      <c r="B341" s="111"/>
      <c r="C341" s="23"/>
      <c r="D341" s="114"/>
      <c r="E341" s="47"/>
      <c r="F341" s="47"/>
      <c r="G341" s="114"/>
      <c r="H341" s="114"/>
      <c r="I341" s="114"/>
      <c r="J341" s="114"/>
      <c r="K341" s="114"/>
      <c r="L341" s="114"/>
      <c r="M341" s="57" t="str">
        <f t="shared" si="53"/>
        <v/>
      </c>
      <c r="N341" s="115"/>
    </row>
    <row r="342" ht="19.5" customHeight="1">
      <c r="A342" s="8"/>
      <c r="B342" s="113"/>
      <c r="C342" s="20" t="s">
        <v>18</v>
      </c>
      <c r="D342" s="117">
        <v>419119.0</v>
      </c>
      <c r="E342" s="44" t="s">
        <v>131</v>
      </c>
      <c r="F342" s="44"/>
      <c r="G342" s="118"/>
      <c r="H342" s="118"/>
      <c r="I342" s="118"/>
      <c r="J342" s="118"/>
      <c r="K342" s="118"/>
      <c r="L342" s="118"/>
      <c r="M342" s="58">
        <f t="shared" si="53"/>
        <v>419119</v>
      </c>
      <c r="N342" s="119"/>
    </row>
    <row r="343" ht="19.5" customHeight="1">
      <c r="A343" s="8"/>
      <c r="B343" s="113"/>
      <c r="C343" s="20"/>
      <c r="D343" s="120">
        <v>5976.5</v>
      </c>
      <c r="E343" s="47" t="s">
        <v>207</v>
      </c>
      <c r="F343" s="44"/>
      <c r="G343" s="118"/>
      <c r="H343" s="118"/>
      <c r="I343" s="118"/>
      <c r="J343" s="118"/>
      <c r="K343" s="118"/>
      <c r="L343" s="118"/>
      <c r="M343" s="94">
        <f t="shared" si="53"/>
        <v>5976.5</v>
      </c>
      <c r="N343" s="119"/>
    </row>
    <row r="344" ht="19.5" customHeight="1">
      <c r="A344" s="8"/>
      <c r="B344" s="113"/>
      <c r="C344" s="20"/>
      <c r="D344" s="117">
        <v>267701.0</v>
      </c>
      <c r="E344" s="44" t="s">
        <v>173</v>
      </c>
      <c r="F344" s="58">
        <f>D344</f>
        <v>267701</v>
      </c>
      <c r="G344" s="118"/>
      <c r="H344" s="118"/>
      <c r="I344" s="118"/>
      <c r="J344" s="118"/>
      <c r="K344" s="118"/>
      <c r="L344" s="118"/>
      <c r="N344" s="119"/>
    </row>
    <row r="345" ht="19.5" customHeight="1">
      <c r="A345" s="8"/>
      <c r="B345" s="113"/>
      <c r="C345" s="20"/>
      <c r="D345" s="117">
        <v>216891.0</v>
      </c>
      <c r="E345" s="47" t="s">
        <v>208</v>
      </c>
      <c r="F345" s="44"/>
      <c r="G345" s="118"/>
      <c r="H345" s="118"/>
      <c r="I345" s="118"/>
      <c r="J345" s="118"/>
      <c r="K345" s="118"/>
      <c r="L345" s="118"/>
      <c r="M345" s="58">
        <f>D345</f>
        <v>216891</v>
      </c>
      <c r="N345" s="119"/>
    </row>
    <row r="346" ht="19.5" customHeight="1">
      <c r="A346" s="8"/>
      <c r="B346" s="113"/>
      <c r="C346" s="20"/>
      <c r="D346" s="117">
        <v>3000.0</v>
      </c>
      <c r="E346" s="44" t="s">
        <v>55</v>
      </c>
      <c r="F346" s="44"/>
      <c r="G346" s="118"/>
      <c r="H346" s="118"/>
      <c r="I346" s="58">
        <f t="shared" ref="I346:I351" si="54">D346</f>
        <v>3000</v>
      </c>
      <c r="K346" s="118"/>
      <c r="L346" s="118"/>
      <c r="N346" s="119"/>
    </row>
    <row r="347" ht="19.5" customHeight="1">
      <c r="A347" s="8"/>
      <c r="B347" s="113"/>
      <c r="C347" s="20"/>
      <c r="D347" s="117">
        <v>5000.0</v>
      </c>
      <c r="E347" s="44" t="s">
        <v>56</v>
      </c>
      <c r="F347" s="44"/>
      <c r="G347" s="118"/>
      <c r="H347" s="118"/>
      <c r="I347" s="58">
        <f t="shared" si="54"/>
        <v>5000</v>
      </c>
      <c r="K347" s="118"/>
      <c r="L347" s="118"/>
      <c r="N347" s="119"/>
    </row>
    <row r="348" ht="19.5" customHeight="1">
      <c r="A348" s="8"/>
      <c r="B348" s="113"/>
      <c r="C348" s="20"/>
      <c r="D348" s="117">
        <v>3000.0</v>
      </c>
      <c r="E348" s="47" t="s">
        <v>57</v>
      </c>
      <c r="F348" s="44"/>
      <c r="G348" s="118"/>
      <c r="H348" s="118"/>
      <c r="I348" s="58">
        <f t="shared" si="54"/>
        <v>3000</v>
      </c>
      <c r="K348" s="118"/>
      <c r="L348" s="118"/>
      <c r="N348" s="119"/>
    </row>
    <row r="349" ht="19.5" customHeight="1">
      <c r="A349" s="8"/>
      <c r="B349" s="113"/>
      <c r="C349" s="20"/>
      <c r="D349" s="117">
        <v>3000.0</v>
      </c>
      <c r="E349" s="47" t="s">
        <v>64</v>
      </c>
      <c r="F349" s="44"/>
      <c r="G349" s="118"/>
      <c r="H349" s="118"/>
      <c r="I349" s="58">
        <f t="shared" si="54"/>
        <v>3000</v>
      </c>
      <c r="K349" s="118"/>
      <c r="L349" s="118"/>
      <c r="N349" s="119"/>
    </row>
    <row r="350" ht="19.5" customHeight="1">
      <c r="A350" s="8"/>
      <c r="B350" s="113"/>
      <c r="C350" s="20"/>
      <c r="D350" s="117">
        <v>3000.0</v>
      </c>
      <c r="E350" s="44" t="s">
        <v>59</v>
      </c>
      <c r="F350" s="44"/>
      <c r="G350" s="118"/>
      <c r="H350" s="118"/>
      <c r="I350" s="58">
        <f t="shared" si="54"/>
        <v>3000</v>
      </c>
      <c r="K350" s="118"/>
      <c r="L350" s="118"/>
      <c r="N350" s="119"/>
    </row>
    <row r="351" ht="19.5" customHeight="1">
      <c r="A351" s="8"/>
      <c r="B351" s="113"/>
      <c r="C351" s="20"/>
      <c r="D351" s="117">
        <v>4000.0</v>
      </c>
      <c r="E351" s="44" t="s">
        <v>62</v>
      </c>
      <c r="F351" s="44"/>
      <c r="G351" s="118"/>
      <c r="H351" s="118"/>
      <c r="I351" s="58">
        <f t="shared" si="54"/>
        <v>4000</v>
      </c>
      <c r="K351" s="118"/>
      <c r="L351" s="118"/>
      <c r="N351" s="119"/>
    </row>
    <row r="352" ht="19.5" customHeight="1">
      <c r="A352" s="8"/>
      <c r="B352" s="113"/>
      <c r="C352" s="20"/>
      <c r="D352" s="117">
        <v>2350.0</v>
      </c>
      <c r="E352" s="47" t="s">
        <v>139</v>
      </c>
      <c r="F352" s="44"/>
      <c r="G352" s="118"/>
      <c r="H352" s="58">
        <f t="shared" ref="H352:H357" si="55">D352</f>
        <v>2350</v>
      </c>
      <c r="J352" s="118"/>
      <c r="K352" s="118"/>
      <c r="L352" s="118"/>
      <c r="N352" s="119"/>
    </row>
    <row r="353" ht="19.5" customHeight="1">
      <c r="A353" s="8"/>
      <c r="B353" s="113"/>
      <c r="C353" s="20"/>
      <c r="D353" s="117">
        <v>23430.0</v>
      </c>
      <c r="E353" s="44" t="s">
        <v>144</v>
      </c>
      <c r="F353" s="44"/>
      <c r="G353" s="118"/>
      <c r="H353" s="58">
        <f t="shared" si="55"/>
        <v>23430</v>
      </c>
      <c r="J353" s="118"/>
      <c r="K353" s="118"/>
      <c r="L353" s="118"/>
      <c r="N353" s="119"/>
    </row>
    <row r="354" ht="19.5" customHeight="1">
      <c r="A354" s="8"/>
      <c r="B354" s="113"/>
      <c r="C354" s="20"/>
      <c r="D354" s="117">
        <v>29800.0</v>
      </c>
      <c r="E354" s="47" t="s">
        <v>146</v>
      </c>
      <c r="F354" s="44"/>
      <c r="G354" s="118"/>
      <c r="H354" s="58">
        <f t="shared" si="55"/>
        <v>29800</v>
      </c>
      <c r="J354" s="118"/>
      <c r="K354" s="118"/>
      <c r="L354" s="118"/>
      <c r="N354" s="119"/>
    </row>
    <row r="355" ht="19.5" customHeight="1">
      <c r="A355" s="8"/>
      <c r="B355" s="113"/>
      <c r="C355" s="20"/>
      <c r="D355" s="13">
        <v>450.0</v>
      </c>
      <c r="E355" s="44" t="s">
        <v>209</v>
      </c>
      <c r="F355" s="44"/>
      <c r="G355" s="118"/>
      <c r="H355" s="57">
        <f t="shared" si="55"/>
        <v>450</v>
      </c>
      <c r="J355" s="118"/>
      <c r="K355" s="118"/>
      <c r="L355" s="118"/>
      <c r="N355" s="119"/>
    </row>
    <row r="356" ht="19.5" customHeight="1">
      <c r="A356" s="8"/>
      <c r="B356" s="113"/>
      <c r="C356" s="20"/>
      <c r="D356" s="117">
        <v>1205.0</v>
      </c>
      <c r="E356" s="47" t="s">
        <v>210</v>
      </c>
      <c r="F356" s="44"/>
      <c r="G356" s="118"/>
      <c r="H356" s="58">
        <f t="shared" si="55"/>
        <v>1205</v>
      </c>
      <c r="J356" s="118"/>
      <c r="K356" s="118"/>
      <c r="L356" s="118"/>
      <c r="N356" s="119"/>
    </row>
    <row r="357" ht="19.5" customHeight="1">
      <c r="A357" s="8"/>
      <c r="B357" s="113"/>
      <c r="C357" s="20"/>
      <c r="D357" s="117">
        <v>20400.0</v>
      </c>
      <c r="E357" s="44" t="s">
        <v>145</v>
      </c>
      <c r="F357" s="44"/>
      <c r="G357" s="118"/>
      <c r="H357" s="58">
        <f t="shared" si="55"/>
        <v>20400</v>
      </c>
      <c r="J357" s="118"/>
      <c r="K357" s="118"/>
      <c r="L357" s="118"/>
      <c r="N357" s="119"/>
    </row>
    <row r="358" ht="19.5" customHeight="1">
      <c r="A358" s="8"/>
      <c r="B358" s="113"/>
      <c r="C358" s="20"/>
      <c r="D358" s="117">
        <v>10000.0</v>
      </c>
      <c r="E358" s="48" t="s">
        <v>214</v>
      </c>
      <c r="F358" s="44"/>
      <c r="G358" s="118"/>
      <c r="H358" s="118"/>
      <c r="J358" s="118"/>
      <c r="K358" s="118"/>
      <c r="L358" s="118"/>
      <c r="M358" s="58">
        <f t="shared" ref="M358:M362" si="56">D358</f>
        <v>10000</v>
      </c>
      <c r="N358" s="119"/>
    </row>
    <row r="359" ht="19.5" customHeight="1">
      <c r="A359" s="8"/>
      <c r="B359" s="113"/>
      <c r="C359" s="20"/>
      <c r="D359" s="117">
        <v>201000.0</v>
      </c>
      <c r="E359" s="9" t="s">
        <v>211</v>
      </c>
      <c r="F359" s="44"/>
      <c r="G359" s="118"/>
      <c r="H359" s="118"/>
      <c r="J359" s="118"/>
      <c r="K359" s="118"/>
      <c r="L359" s="118"/>
      <c r="M359" s="58">
        <f t="shared" si="56"/>
        <v>201000</v>
      </c>
      <c r="N359" s="119"/>
    </row>
    <row r="360" ht="19.5" customHeight="1">
      <c r="A360" s="8"/>
      <c r="B360" s="113"/>
      <c r="C360" s="20"/>
      <c r="D360" s="118"/>
      <c r="E360" s="44"/>
      <c r="F360" s="44"/>
      <c r="G360" s="118"/>
      <c r="H360" s="118"/>
      <c r="I360" s="118"/>
      <c r="J360" s="118"/>
      <c r="K360" s="118"/>
      <c r="L360" s="118"/>
      <c r="M360" s="57" t="str">
        <f t="shared" si="56"/>
        <v/>
      </c>
      <c r="N360" s="119"/>
    </row>
    <row r="361" ht="19.5" customHeight="1">
      <c r="A361" s="8"/>
      <c r="B361" s="111"/>
      <c r="C361" s="23" t="s">
        <v>19</v>
      </c>
      <c r="D361" s="52">
        <v>1466138.0</v>
      </c>
      <c r="E361" s="47" t="s">
        <v>131</v>
      </c>
      <c r="F361" s="47"/>
      <c r="G361" s="114"/>
      <c r="H361" s="114"/>
      <c r="I361" s="114"/>
      <c r="J361" s="114"/>
      <c r="K361" s="114"/>
      <c r="L361" s="114"/>
      <c r="M361" s="58">
        <f t="shared" si="56"/>
        <v>1466138</v>
      </c>
      <c r="N361" s="115"/>
    </row>
    <row r="362" ht="19.5" customHeight="1">
      <c r="A362" s="8"/>
      <c r="B362" s="111"/>
      <c r="C362" s="23"/>
      <c r="D362" s="52">
        <v>8987.0</v>
      </c>
      <c r="E362" s="44" t="s">
        <v>207</v>
      </c>
      <c r="F362" s="47"/>
      <c r="G362" s="114"/>
      <c r="H362" s="114"/>
      <c r="I362" s="114"/>
      <c r="J362" s="114"/>
      <c r="K362" s="114"/>
      <c r="L362" s="114"/>
      <c r="M362" s="58">
        <f t="shared" si="56"/>
        <v>8987</v>
      </c>
      <c r="N362" s="115"/>
    </row>
    <row r="363" ht="19.5" customHeight="1">
      <c r="A363" s="8"/>
      <c r="B363" s="111"/>
      <c r="C363" s="23"/>
      <c r="D363" s="11">
        <v>261.643</v>
      </c>
      <c r="E363" s="47" t="s">
        <v>173</v>
      </c>
      <c r="F363" s="57">
        <f>D363</f>
        <v>261.643</v>
      </c>
      <c r="G363" s="114"/>
      <c r="H363" s="114"/>
      <c r="I363" s="114"/>
      <c r="J363" s="114"/>
      <c r="K363" s="114"/>
      <c r="L363" s="114"/>
      <c r="N363" s="115"/>
    </row>
    <row r="364" ht="19.5" customHeight="1">
      <c r="A364" s="8"/>
      <c r="B364" s="111"/>
      <c r="C364" s="23"/>
      <c r="D364" s="52">
        <v>280315.0</v>
      </c>
      <c r="E364" s="44" t="s">
        <v>208</v>
      </c>
      <c r="F364" s="47"/>
      <c r="G364" s="114"/>
      <c r="H364" s="114"/>
      <c r="I364" s="114"/>
      <c r="J364" s="114"/>
      <c r="K364" s="114"/>
      <c r="L364" s="114"/>
      <c r="M364" s="58">
        <f>D364</f>
        <v>280315</v>
      </c>
      <c r="N364" s="115"/>
    </row>
    <row r="365" ht="19.5" customHeight="1">
      <c r="A365" s="8"/>
      <c r="B365" s="111"/>
      <c r="C365" s="23"/>
      <c r="D365" s="52">
        <v>8000.0</v>
      </c>
      <c r="E365" s="47" t="s">
        <v>55</v>
      </c>
      <c r="F365" s="47"/>
      <c r="G365" s="114"/>
      <c r="H365" s="114"/>
      <c r="I365" s="58">
        <f t="shared" ref="I365:I372" si="57">D365</f>
        <v>8000</v>
      </c>
      <c r="K365" s="114"/>
      <c r="L365" s="114"/>
      <c r="N365" s="115"/>
    </row>
    <row r="366" ht="19.5" customHeight="1">
      <c r="A366" s="8"/>
      <c r="B366" s="111"/>
      <c r="C366" s="23"/>
      <c r="D366" s="52">
        <v>10000.0</v>
      </c>
      <c r="E366" s="47" t="s">
        <v>56</v>
      </c>
      <c r="F366" s="47"/>
      <c r="G366" s="114"/>
      <c r="H366" s="114"/>
      <c r="I366" s="58">
        <f t="shared" si="57"/>
        <v>10000</v>
      </c>
      <c r="K366" s="114"/>
      <c r="L366" s="114"/>
      <c r="N366" s="115"/>
    </row>
    <row r="367" ht="19.5" customHeight="1">
      <c r="A367" s="8"/>
      <c r="B367" s="111"/>
      <c r="C367" s="23"/>
      <c r="D367" s="52">
        <v>9000.0</v>
      </c>
      <c r="E367" s="44" t="s">
        <v>57</v>
      </c>
      <c r="F367" s="47"/>
      <c r="G367" s="114"/>
      <c r="H367" s="114"/>
      <c r="I367" s="58">
        <f t="shared" si="57"/>
        <v>9000</v>
      </c>
      <c r="K367" s="114"/>
      <c r="L367" s="114"/>
      <c r="N367" s="115"/>
    </row>
    <row r="368" ht="19.5" customHeight="1">
      <c r="A368" s="8"/>
      <c r="B368" s="111"/>
      <c r="C368" s="23"/>
      <c r="D368" s="52">
        <v>5000.0</v>
      </c>
      <c r="E368" s="47" t="s">
        <v>58</v>
      </c>
      <c r="F368" s="47"/>
      <c r="G368" s="114"/>
      <c r="H368" s="114"/>
      <c r="I368" s="58">
        <f t="shared" si="57"/>
        <v>5000</v>
      </c>
      <c r="K368" s="114"/>
      <c r="L368" s="114"/>
      <c r="N368" s="115"/>
    </row>
    <row r="369" ht="19.5" customHeight="1">
      <c r="A369" s="8"/>
      <c r="B369" s="111"/>
      <c r="C369" s="23"/>
      <c r="D369" s="52">
        <v>3000.0</v>
      </c>
      <c r="E369" s="44" t="s">
        <v>64</v>
      </c>
      <c r="F369" s="47"/>
      <c r="G369" s="114"/>
      <c r="H369" s="114"/>
      <c r="I369" s="58">
        <f t="shared" si="57"/>
        <v>3000</v>
      </c>
      <c r="K369" s="114"/>
      <c r="L369" s="114"/>
      <c r="N369" s="115"/>
    </row>
    <row r="370" ht="19.5" customHeight="1">
      <c r="A370" s="8"/>
      <c r="B370" s="111"/>
      <c r="C370" s="23"/>
      <c r="D370" s="52">
        <v>5000.0</v>
      </c>
      <c r="E370" s="47" t="s">
        <v>59</v>
      </c>
      <c r="F370" s="47"/>
      <c r="G370" s="114"/>
      <c r="H370" s="114"/>
      <c r="I370" s="58">
        <f t="shared" si="57"/>
        <v>5000</v>
      </c>
      <c r="K370" s="114"/>
      <c r="L370" s="114"/>
      <c r="N370" s="115"/>
    </row>
    <row r="371" ht="19.5" customHeight="1">
      <c r="A371" s="8"/>
      <c r="B371" s="111"/>
      <c r="C371" s="23"/>
      <c r="D371" s="52">
        <v>5000.0</v>
      </c>
      <c r="E371" s="44" t="s">
        <v>60</v>
      </c>
      <c r="F371" s="47"/>
      <c r="G371" s="114"/>
      <c r="H371" s="114"/>
      <c r="I371" s="58">
        <f t="shared" si="57"/>
        <v>5000</v>
      </c>
      <c r="K371" s="114"/>
      <c r="L371" s="114"/>
      <c r="N371" s="115"/>
    </row>
    <row r="372" ht="19.5" customHeight="1">
      <c r="A372" s="8"/>
      <c r="B372" s="111"/>
      <c r="C372" s="23"/>
      <c r="D372" s="52">
        <v>6000.0</v>
      </c>
      <c r="E372" s="9" t="s">
        <v>62</v>
      </c>
      <c r="F372" s="47"/>
      <c r="G372" s="114"/>
      <c r="H372" s="114"/>
      <c r="I372" s="58">
        <f t="shared" si="57"/>
        <v>6000</v>
      </c>
      <c r="K372" s="114"/>
      <c r="L372" s="114"/>
      <c r="N372" s="115"/>
    </row>
    <row r="373" ht="19.5" customHeight="1">
      <c r="A373" s="8"/>
      <c r="B373" s="111"/>
      <c r="C373" s="23"/>
      <c r="D373" s="52">
        <v>3300.0</v>
      </c>
      <c r="E373" s="47" t="s">
        <v>139</v>
      </c>
      <c r="F373" s="47"/>
      <c r="G373" s="114"/>
      <c r="H373" s="58">
        <f t="shared" ref="H373:H378" si="58">D373</f>
        <v>3300</v>
      </c>
      <c r="K373" s="114"/>
      <c r="L373" s="114"/>
      <c r="N373" s="115"/>
    </row>
    <row r="374" ht="19.5" customHeight="1">
      <c r="A374" s="8"/>
      <c r="B374" s="111"/>
      <c r="C374" s="23"/>
      <c r="D374" s="52">
        <v>27000.0</v>
      </c>
      <c r="E374" s="44" t="s">
        <v>144</v>
      </c>
      <c r="F374" s="47"/>
      <c r="G374" s="114"/>
      <c r="H374" s="58">
        <f t="shared" si="58"/>
        <v>27000</v>
      </c>
      <c r="K374" s="114"/>
      <c r="L374" s="114"/>
      <c r="N374" s="115"/>
    </row>
    <row r="375" ht="19.5" customHeight="1">
      <c r="A375" s="8"/>
      <c r="B375" s="111"/>
      <c r="C375" s="23"/>
      <c r="D375" s="52">
        <v>24300.0</v>
      </c>
      <c r="E375" s="47" t="s">
        <v>146</v>
      </c>
      <c r="F375" s="47"/>
      <c r="G375" s="114"/>
      <c r="H375" s="58">
        <f t="shared" si="58"/>
        <v>24300</v>
      </c>
      <c r="K375" s="114"/>
      <c r="L375" s="114"/>
      <c r="N375" s="115"/>
    </row>
    <row r="376" ht="19.5" customHeight="1">
      <c r="A376" s="8"/>
      <c r="B376" s="111"/>
      <c r="C376" s="23"/>
      <c r="D376" s="11">
        <v>380.0</v>
      </c>
      <c r="E376" s="44" t="s">
        <v>209</v>
      </c>
      <c r="F376" s="47"/>
      <c r="G376" s="114"/>
      <c r="H376" s="57">
        <f t="shared" si="58"/>
        <v>380</v>
      </c>
      <c r="K376" s="114"/>
      <c r="L376" s="114"/>
      <c r="N376" s="115"/>
    </row>
    <row r="377" ht="19.5" customHeight="1">
      <c r="A377" s="8"/>
      <c r="B377" s="111"/>
      <c r="C377" s="23"/>
      <c r="D377" s="52">
        <v>3000.0</v>
      </c>
      <c r="E377" s="47" t="s">
        <v>210</v>
      </c>
      <c r="F377" s="47"/>
      <c r="G377" s="114"/>
      <c r="H377" s="58">
        <f t="shared" si="58"/>
        <v>3000</v>
      </c>
      <c r="K377" s="114"/>
      <c r="L377" s="114"/>
      <c r="N377" s="115"/>
    </row>
    <row r="378" ht="19.5" customHeight="1">
      <c r="A378" s="8"/>
      <c r="B378" s="111"/>
      <c r="C378" s="23"/>
      <c r="D378" s="52">
        <v>24000.0</v>
      </c>
      <c r="E378" s="44" t="s">
        <v>145</v>
      </c>
      <c r="F378" s="47"/>
      <c r="G378" s="114"/>
      <c r="H378" s="58">
        <f t="shared" si="58"/>
        <v>24000</v>
      </c>
      <c r="K378" s="114"/>
      <c r="L378" s="114"/>
      <c r="N378" s="115"/>
    </row>
    <row r="379" ht="19.5" customHeight="1">
      <c r="A379" s="8"/>
      <c r="B379" s="113"/>
      <c r="C379" s="20" t="s">
        <v>20</v>
      </c>
      <c r="D379" s="117">
        <v>1335783.0</v>
      </c>
      <c r="E379" s="44" t="s">
        <v>131</v>
      </c>
      <c r="F379" s="44"/>
      <c r="G379" s="118"/>
      <c r="H379" s="118"/>
      <c r="I379" s="118"/>
      <c r="J379" s="118"/>
      <c r="K379" s="118"/>
      <c r="L379" s="118"/>
      <c r="M379" s="58">
        <f t="shared" ref="M379:M380" si="59">D379</f>
        <v>1335783</v>
      </c>
      <c r="N379" s="119"/>
    </row>
    <row r="380" ht="19.5" customHeight="1">
      <c r="A380" s="8"/>
      <c r="B380" s="113"/>
      <c r="C380" s="20"/>
      <c r="D380" s="117">
        <v>22505.0</v>
      </c>
      <c r="E380" s="47" t="s">
        <v>207</v>
      </c>
      <c r="F380" s="44"/>
      <c r="G380" s="118"/>
      <c r="H380" s="118"/>
      <c r="I380" s="118"/>
      <c r="J380" s="118"/>
      <c r="K380" s="118"/>
      <c r="L380" s="118"/>
      <c r="M380" s="58">
        <f t="shared" si="59"/>
        <v>22505</v>
      </c>
      <c r="N380" s="119"/>
    </row>
    <row r="381" ht="19.5" customHeight="1">
      <c r="A381" s="8"/>
      <c r="B381" s="113"/>
      <c r="C381" s="20"/>
      <c r="D381" s="117">
        <v>347110.0</v>
      </c>
      <c r="E381" s="44" t="s">
        <v>173</v>
      </c>
      <c r="F381" s="58">
        <f>D381</f>
        <v>347110</v>
      </c>
      <c r="G381" s="118"/>
      <c r="H381" s="118"/>
      <c r="I381" s="118"/>
      <c r="J381" s="118"/>
      <c r="K381" s="118"/>
      <c r="L381" s="118"/>
      <c r="N381" s="119"/>
    </row>
    <row r="382" ht="19.5" customHeight="1">
      <c r="A382" s="8"/>
      <c r="B382" s="113"/>
      <c r="C382" s="20"/>
      <c r="D382" s="117">
        <v>205610.0</v>
      </c>
      <c r="E382" s="47" t="s">
        <v>208</v>
      </c>
      <c r="F382" s="44"/>
      <c r="G382" s="118"/>
      <c r="H382" s="118"/>
      <c r="I382" s="118"/>
      <c r="J382" s="118"/>
      <c r="K382" s="118"/>
      <c r="L382" s="118"/>
      <c r="M382" s="58">
        <f>D382</f>
        <v>205610</v>
      </c>
      <c r="N382" s="119"/>
    </row>
    <row r="383" ht="19.5" customHeight="1">
      <c r="A383" s="8"/>
      <c r="B383" s="113"/>
      <c r="C383" s="20"/>
      <c r="D383" s="117">
        <v>3000.0</v>
      </c>
      <c r="E383" s="44" t="s">
        <v>55</v>
      </c>
      <c r="F383" s="44"/>
      <c r="G383" s="118"/>
      <c r="H383" s="118"/>
      <c r="I383" s="58">
        <f t="shared" ref="I383:I390" si="60">D383</f>
        <v>3000</v>
      </c>
      <c r="K383" s="118"/>
      <c r="L383" s="118"/>
      <c r="N383" s="119"/>
    </row>
    <row r="384" ht="19.5" customHeight="1">
      <c r="A384" s="8"/>
      <c r="B384" s="113"/>
      <c r="C384" s="20"/>
      <c r="D384" s="117">
        <v>4000.0</v>
      </c>
      <c r="E384" s="47" t="s">
        <v>65</v>
      </c>
      <c r="F384" s="44"/>
      <c r="G384" s="118"/>
      <c r="H384" s="118"/>
      <c r="I384" s="58">
        <f t="shared" si="60"/>
        <v>4000</v>
      </c>
      <c r="K384" s="118"/>
      <c r="L384" s="118"/>
      <c r="N384" s="119"/>
    </row>
    <row r="385" ht="19.5" customHeight="1">
      <c r="A385" s="8"/>
      <c r="B385" s="113"/>
      <c r="C385" s="20"/>
      <c r="D385" s="117">
        <v>7000.0</v>
      </c>
      <c r="E385" s="44" t="s">
        <v>56</v>
      </c>
      <c r="F385" s="44"/>
      <c r="G385" s="118"/>
      <c r="H385" s="118"/>
      <c r="I385" s="58">
        <f t="shared" si="60"/>
        <v>7000</v>
      </c>
      <c r="K385" s="118"/>
      <c r="L385" s="118"/>
      <c r="N385" s="119"/>
    </row>
    <row r="386" ht="19.5" customHeight="1">
      <c r="A386" s="8"/>
      <c r="B386" s="113"/>
      <c r="C386" s="20"/>
      <c r="D386" s="117">
        <v>3000.0</v>
      </c>
      <c r="E386" s="47" t="s">
        <v>57</v>
      </c>
      <c r="F386" s="44"/>
      <c r="G386" s="118"/>
      <c r="H386" s="118"/>
      <c r="I386" s="58">
        <f t="shared" si="60"/>
        <v>3000</v>
      </c>
      <c r="K386" s="118"/>
      <c r="L386" s="118"/>
      <c r="N386" s="119"/>
    </row>
    <row r="387" ht="19.5" customHeight="1">
      <c r="A387" s="8"/>
      <c r="B387" s="113"/>
      <c r="C387" s="20"/>
      <c r="D387" s="117">
        <v>5000.0</v>
      </c>
      <c r="E387" s="44" t="s">
        <v>58</v>
      </c>
      <c r="F387" s="44"/>
      <c r="G387" s="118"/>
      <c r="H387" s="118"/>
      <c r="I387" s="58">
        <f t="shared" si="60"/>
        <v>5000</v>
      </c>
      <c r="K387" s="118"/>
      <c r="L387" s="118"/>
      <c r="N387" s="119"/>
    </row>
    <row r="388" ht="19.5" customHeight="1">
      <c r="A388" s="8"/>
      <c r="B388" s="113"/>
      <c r="C388" s="20"/>
      <c r="D388" s="117">
        <v>13000.0</v>
      </c>
      <c r="E388" s="47" t="s">
        <v>64</v>
      </c>
      <c r="F388" s="44"/>
      <c r="G388" s="118"/>
      <c r="H388" s="118"/>
      <c r="I388" s="58">
        <f t="shared" si="60"/>
        <v>13000</v>
      </c>
      <c r="K388" s="118"/>
      <c r="L388" s="118"/>
      <c r="N388" s="119"/>
    </row>
    <row r="389" ht="19.5" customHeight="1">
      <c r="A389" s="8"/>
      <c r="B389" s="113"/>
      <c r="C389" s="20"/>
      <c r="D389" s="117">
        <v>3100.0</v>
      </c>
      <c r="E389" s="48" t="s">
        <v>59</v>
      </c>
      <c r="F389" s="44"/>
      <c r="G389" s="118"/>
      <c r="H389" s="118"/>
      <c r="I389" s="58">
        <f t="shared" si="60"/>
        <v>3100</v>
      </c>
      <c r="K389" s="118"/>
      <c r="L389" s="118"/>
      <c r="N389" s="119"/>
    </row>
    <row r="390" ht="19.5" customHeight="1">
      <c r="A390" s="8"/>
      <c r="B390" s="113"/>
      <c r="C390" s="20"/>
      <c r="D390" s="117">
        <v>5000.0</v>
      </c>
      <c r="E390" s="48" t="s">
        <v>60</v>
      </c>
      <c r="F390" s="44"/>
      <c r="G390" s="118"/>
      <c r="H390" s="118"/>
      <c r="I390" s="58">
        <f t="shared" si="60"/>
        <v>5000</v>
      </c>
      <c r="K390" s="118"/>
      <c r="L390" s="118"/>
      <c r="N390" s="119"/>
    </row>
    <row r="391" ht="19.5" customHeight="1">
      <c r="A391" s="8"/>
      <c r="B391" s="113"/>
      <c r="C391" s="20"/>
      <c r="D391" s="121">
        <v>2900.0</v>
      </c>
      <c r="E391" s="44" t="s">
        <v>139</v>
      </c>
      <c r="F391" s="44"/>
      <c r="G391" s="118"/>
      <c r="H391" s="58">
        <f t="shared" ref="H391:H395" si="61">D391</f>
        <v>2900</v>
      </c>
      <c r="K391" s="118"/>
      <c r="L391" s="118"/>
      <c r="N391" s="119"/>
    </row>
    <row r="392" ht="19.5" customHeight="1">
      <c r="A392" s="8"/>
      <c r="B392" s="113"/>
      <c r="C392" s="20"/>
      <c r="D392" s="117">
        <v>38600.0</v>
      </c>
      <c r="E392" s="47" t="s">
        <v>144</v>
      </c>
      <c r="F392" s="44"/>
      <c r="G392" s="118"/>
      <c r="H392" s="58">
        <f t="shared" si="61"/>
        <v>38600</v>
      </c>
      <c r="K392" s="118"/>
      <c r="L392" s="118"/>
      <c r="N392" s="119"/>
    </row>
    <row r="393" ht="19.5" customHeight="1">
      <c r="A393" s="8"/>
      <c r="B393" s="113"/>
      <c r="C393" s="20"/>
      <c r="D393" s="117">
        <v>28000.0</v>
      </c>
      <c r="E393" s="44" t="s">
        <v>146</v>
      </c>
      <c r="F393" s="44"/>
      <c r="G393" s="118"/>
      <c r="H393" s="58">
        <f t="shared" si="61"/>
        <v>28000</v>
      </c>
      <c r="K393" s="118"/>
      <c r="L393" s="118"/>
      <c r="N393" s="119"/>
    </row>
    <row r="394" ht="19.5" customHeight="1">
      <c r="A394" s="8"/>
      <c r="B394" s="113"/>
      <c r="C394" s="20"/>
      <c r="D394" s="117">
        <v>4000.0</v>
      </c>
      <c r="E394" s="44" t="s">
        <v>210</v>
      </c>
      <c r="F394" s="44"/>
      <c r="G394" s="118"/>
      <c r="H394" s="58">
        <f t="shared" si="61"/>
        <v>4000</v>
      </c>
      <c r="K394" s="118"/>
      <c r="L394" s="118"/>
      <c r="N394" s="119"/>
    </row>
    <row r="395" ht="19.5" customHeight="1">
      <c r="A395" s="8"/>
      <c r="B395" s="113"/>
      <c r="C395" s="20"/>
      <c r="D395" s="117">
        <v>22500.0</v>
      </c>
      <c r="E395" s="47" t="s">
        <v>145</v>
      </c>
      <c r="F395" s="44"/>
      <c r="G395" s="118"/>
      <c r="H395" s="58">
        <f t="shared" si="61"/>
        <v>22500</v>
      </c>
      <c r="K395" s="118"/>
      <c r="L395" s="118"/>
      <c r="N395" s="119"/>
    </row>
    <row r="396" ht="19.5" customHeight="1">
      <c r="A396" s="8"/>
      <c r="B396" s="113"/>
      <c r="C396" s="20"/>
      <c r="D396" s="117">
        <v>263100.0</v>
      </c>
      <c r="E396" s="44" t="s">
        <v>215</v>
      </c>
      <c r="F396" s="44"/>
      <c r="G396" s="118"/>
      <c r="H396" s="118"/>
      <c r="K396" s="118"/>
      <c r="L396" s="118"/>
      <c r="M396" s="58">
        <f t="shared" ref="M396:M401" si="62">D396</f>
        <v>263100</v>
      </c>
      <c r="N396" s="119"/>
    </row>
    <row r="397" ht="19.5" customHeight="1">
      <c r="A397" s="8"/>
      <c r="B397" s="113"/>
      <c r="C397" s="20"/>
      <c r="D397" s="118"/>
      <c r="E397" s="44"/>
      <c r="F397" s="44"/>
      <c r="G397" s="118"/>
      <c r="H397" s="118"/>
      <c r="I397" s="118"/>
      <c r="J397" s="118"/>
      <c r="K397" s="118"/>
      <c r="L397" s="118"/>
      <c r="M397" s="57" t="str">
        <f t="shared" si="62"/>
        <v/>
      </c>
      <c r="N397" s="119"/>
    </row>
    <row r="398" ht="19.5" customHeight="1">
      <c r="A398" s="8"/>
      <c r="B398" s="113"/>
      <c r="C398" s="20"/>
      <c r="D398" s="118"/>
      <c r="E398" s="44"/>
      <c r="F398" s="44"/>
      <c r="G398" s="118"/>
      <c r="H398" s="118"/>
      <c r="I398" s="118"/>
      <c r="J398" s="118"/>
      <c r="K398" s="118"/>
      <c r="L398" s="118"/>
      <c r="M398" s="57" t="str">
        <f t="shared" si="62"/>
        <v/>
      </c>
      <c r="N398" s="119"/>
    </row>
    <row r="399" ht="19.5" customHeight="1">
      <c r="A399" s="8"/>
      <c r="B399" s="113"/>
      <c r="C399" s="20"/>
      <c r="D399" s="118"/>
      <c r="E399" s="44"/>
      <c r="F399" s="44"/>
      <c r="G399" s="118"/>
      <c r="H399" s="118"/>
      <c r="I399" s="118"/>
      <c r="J399" s="118"/>
      <c r="K399" s="118"/>
      <c r="L399" s="118"/>
      <c r="M399" s="57" t="str">
        <f t="shared" si="62"/>
        <v/>
      </c>
      <c r="N399" s="119"/>
    </row>
    <row r="400" ht="19.5" customHeight="1">
      <c r="A400" s="8"/>
      <c r="B400" s="111"/>
      <c r="C400" s="23" t="s">
        <v>21</v>
      </c>
      <c r="D400" s="52">
        <v>977164.0</v>
      </c>
      <c r="E400" s="47" t="s">
        <v>131</v>
      </c>
      <c r="F400" s="47"/>
      <c r="G400" s="114"/>
      <c r="H400" s="114"/>
      <c r="I400" s="114"/>
      <c r="J400" s="114"/>
      <c r="K400" s="114"/>
      <c r="L400" s="114"/>
      <c r="M400" s="58">
        <f t="shared" si="62"/>
        <v>977164</v>
      </c>
      <c r="N400" s="115"/>
    </row>
    <row r="401" ht="19.5" customHeight="1">
      <c r="A401" s="8"/>
      <c r="B401" s="111"/>
      <c r="C401" s="23"/>
      <c r="D401" s="52">
        <v>12277.0</v>
      </c>
      <c r="E401" s="44" t="s">
        <v>207</v>
      </c>
      <c r="F401" s="47"/>
      <c r="G401" s="114"/>
      <c r="H401" s="114"/>
      <c r="I401" s="114"/>
      <c r="J401" s="114"/>
      <c r="K401" s="114"/>
      <c r="L401" s="114"/>
      <c r="M401" s="58">
        <f t="shared" si="62"/>
        <v>12277</v>
      </c>
      <c r="N401" s="115"/>
    </row>
    <row r="402" ht="19.5" customHeight="1">
      <c r="A402" s="8"/>
      <c r="B402" s="111"/>
      <c r="C402" s="23"/>
      <c r="D402" s="52">
        <v>5639666.0</v>
      </c>
      <c r="E402" s="47" t="s">
        <v>173</v>
      </c>
      <c r="F402" s="58">
        <f>D402</f>
        <v>5639666</v>
      </c>
      <c r="G402" s="114"/>
      <c r="H402" s="114"/>
      <c r="I402" s="114"/>
      <c r="J402" s="114"/>
      <c r="K402" s="114"/>
      <c r="L402" s="114"/>
      <c r="N402" s="115"/>
    </row>
    <row r="403" ht="19.5" customHeight="1">
      <c r="A403" s="8"/>
      <c r="B403" s="111"/>
      <c r="C403" s="23"/>
      <c r="D403" s="52">
        <v>154515.0</v>
      </c>
      <c r="E403" s="44" t="s">
        <v>208</v>
      </c>
      <c r="F403" s="47"/>
      <c r="G403" s="114"/>
      <c r="H403" s="114"/>
      <c r="I403" s="114"/>
      <c r="J403" s="114"/>
      <c r="K403" s="114"/>
      <c r="L403" s="114"/>
      <c r="M403" s="58">
        <f>D403</f>
        <v>154515</v>
      </c>
      <c r="N403" s="115"/>
    </row>
    <row r="404" ht="19.5" customHeight="1">
      <c r="A404" s="8"/>
      <c r="B404" s="111"/>
      <c r="C404" s="23"/>
      <c r="D404" s="52">
        <v>5000.0</v>
      </c>
      <c r="E404" s="44" t="s">
        <v>55</v>
      </c>
      <c r="F404" s="47"/>
      <c r="G404" s="114"/>
      <c r="H404" s="114"/>
      <c r="I404" s="58">
        <f t="shared" ref="I404:I409" si="63">D404</f>
        <v>5000</v>
      </c>
      <c r="K404" s="114"/>
      <c r="L404" s="114"/>
      <c r="N404" s="115"/>
    </row>
    <row r="405" ht="19.5" customHeight="1">
      <c r="A405" s="8"/>
      <c r="B405" s="111"/>
      <c r="C405" s="23"/>
      <c r="D405" s="52">
        <v>6000.0</v>
      </c>
      <c r="E405" s="47" t="s">
        <v>65</v>
      </c>
      <c r="F405" s="47"/>
      <c r="G405" s="114"/>
      <c r="H405" s="114"/>
      <c r="I405" s="58">
        <f t="shared" si="63"/>
        <v>6000</v>
      </c>
      <c r="K405" s="114"/>
      <c r="L405" s="114"/>
      <c r="N405" s="115"/>
    </row>
    <row r="406" ht="19.5" customHeight="1">
      <c r="A406" s="8"/>
      <c r="B406" s="111"/>
      <c r="C406" s="23"/>
      <c r="D406" s="52">
        <v>10000.0</v>
      </c>
      <c r="E406" s="44" t="s">
        <v>56</v>
      </c>
      <c r="F406" s="47"/>
      <c r="G406" s="114"/>
      <c r="H406" s="114"/>
      <c r="I406" s="58">
        <f t="shared" si="63"/>
        <v>10000</v>
      </c>
      <c r="K406" s="114"/>
      <c r="L406" s="114"/>
      <c r="N406" s="115"/>
    </row>
    <row r="407" ht="19.5" customHeight="1">
      <c r="A407" s="8"/>
      <c r="B407" s="111"/>
      <c r="C407" s="23"/>
      <c r="D407" s="52">
        <v>3000.0</v>
      </c>
      <c r="E407" s="44" t="s">
        <v>57</v>
      </c>
      <c r="F407" s="47"/>
      <c r="G407" s="114"/>
      <c r="H407" s="114"/>
      <c r="I407" s="58">
        <f t="shared" si="63"/>
        <v>3000</v>
      </c>
      <c r="K407" s="114"/>
      <c r="L407" s="114"/>
      <c r="N407" s="115"/>
    </row>
    <row r="408" ht="19.5" customHeight="1">
      <c r="A408" s="8"/>
      <c r="B408" s="111"/>
      <c r="C408" s="23"/>
      <c r="D408" s="52">
        <v>5000.0</v>
      </c>
      <c r="E408" s="47" t="s">
        <v>58</v>
      </c>
      <c r="F408" s="47"/>
      <c r="G408" s="114"/>
      <c r="H408" s="114"/>
      <c r="I408" s="58">
        <f t="shared" si="63"/>
        <v>5000</v>
      </c>
      <c r="K408" s="114"/>
      <c r="L408" s="114"/>
      <c r="N408" s="115"/>
    </row>
    <row r="409" ht="19.5" customHeight="1">
      <c r="A409" s="8"/>
      <c r="B409" s="111"/>
      <c r="C409" s="23"/>
      <c r="D409" s="52">
        <v>3000.0</v>
      </c>
      <c r="E409" s="44" t="s">
        <v>64</v>
      </c>
      <c r="F409" s="47"/>
      <c r="G409" s="114"/>
      <c r="H409" s="114"/>
      <c r="I409" s="58">
        <f t="shared" si="63"/>
        <v>3000</v>
      </c>
      <c r="K409" s="114"/>
      <c r="L409" s="114"/>
      <c r="N409" s="115"/>
    </row>
    <row r="410" ht="19.5" customHeight="1">
      <c r="A410" s="8"/>
      <c r="B410" s="111"/>
      <c r="C410" s="23"/>
      <c r="D410" s="52">
        <v>3500.0</v>
      </c>
      <c r="E410" s="47" t="s">
        <v>139</v>
      </c>
      <c r="F410" s="47"/>
      <c r="G410" s="114"/>
      <c r="H410" s="58">
        <f t="shared" ref="H410:H415" si="64">D410</f>
        <v>3500</v>
      </c>
      <c r="K410" s="114"/>
      <c r="L410" s="114"/>
      <c r="N410" s="115"/>
    </row>
    <row r="411" ht="19.5" customHeight="1">
      <c r="A411" s="8"/>
      <c r="B411" s="111"/>
      <c r="C411" s="23"/>
      <c r="D411" s="52">
        <v>31000.0</v>
      </c>
      <c r="E411" s="44" t="s">
        <v>144</v>
      </c>
      <c r="F411" s="47"/>
      <c r="G411" s="114"/>
      <c r="H411" s="58">
        <f t="shared" si="64"/>
        <v>31000</v>
      </c>
      <c r="K411" s="114"/>
      <c r="L411" s="114"/>
      <c r="N411" s="115"/>
    </row>
    <row r="412" ht="19.5" customHeight="1">
      <c r="A412" s="8"/>
      <c r="B412" s="111"/>
      <c r="C412" s="23"/>
      <c r="D412" s="52">
        <v>41500.0</v>
      </c>
      <c r="E412" s="47" t="s">
        <v>146</v>
      </c>
      <c r="F412" s="47"/>
      <c r="G412" s="114"/>
      <c r="H412" s="58">
        <f t="shared" si="64"/>
        <v>41500</v>
      </c>
      <c r="K412" s="114"/>
      <c r="L412" s="114"/>
      <c r="N412" s="115"/>
    </row>
    <row r="413" ht="19.5" customHeight="1">
      <c r="A413" s="8"/>
      <c r="B413" s="111"/>
      <c r="C413" s="23"/>
      <c r="D413" s="52">
        <v>10000.0</v>
      </c>
      <c r="E413" s="44" t="s">
        <v>209</v>
      </c>
      <c r="F413" s="47"/>
      <c r="G413" s="114"/>
      <c r="H413" s="58">
        <f t="shared" si="64"/>
        <v>10000</v>
      </c>
      <c r="K413" s="114"/>
      <c r="L413" s="114"/>
      <c r="N413" s="115"/>
    </row>
    <row r="414" ht="19.5" customHeight="1">
      <c r="A414" s="8"/>
      <c r="B414" s="111"/>
      <c r="C414" s="23"/>
      <c r="D414" s="52">
        <v>4000.0</v>
      </c>
      <c r="E414" s="47" t="s">
        <v>210</v>
      </c>
      <c r="F414" s="47"/>
      <c r="G414" s="114"/>
      <c r="H414" s="58">
        <f t="shared" si="64"/>
        <v>4000</v>
      </c>
      <c r="K414" s="114"/>
      <c r="L414" s="114"/>
      <c r="N414" s="115"/>
    </row>
    <row r="415" ht="19.5" customHeight="1">
      <c r="A415" s="8"/>
      <c r="B415" s="111"/>
      <c r="C415" s="23"/>
      <c r="D415" s="52">
        <v>23000.0</v>
      </c>
      <c r="E415" s="44" t="s">
        <v>145</v>
      </c>
      <c r="F415" s="47"/>
      <c r="G415" s="114"/>
      <c r="H415" s="58">
        <f t="shared" si="64"/>
        <v>23000</v>
      </c>
      <c r="K415" s="114"/>
      <c r="L415" s="114"/>
      <c r="N415" s="115"/>
    </row>
    <row r="416" ht="19.5" customHeight="1">
      <c r="A416" s="8"/>
      <c r="B416" s="111"/>
      <c r="C416" s="23"/>
      <c r="D416" s="52">
        <v>168580.0</v>
      </c>
      <c r="E416" s="48" t="s">
        <v>215</v>
      </c>
      <c r="F416" s="47"/>
      <c r="G416" s="114"/>
      <c r="H416" s="114"/>
      <c r="K416" s="114"/>
      <c r="L416" s="114"/>
      <c r="M416" s="58">
        <f t="shared" ref="M416:M421" si="65">D416</f>
        <v>168580</v>
      </c>
      <c r="N416" s="115"/>
    </row>
    <row r="417" ht="19.5" customHeight="1">
      <c r="A417" s="8"/>
      <c r="B417" s="111"/>
      <c r="C417" s="23"/>
      <c r="D417" s="114"/>
      <c r="E417" s="47"/>
      <c r="F417" s="47"/>
      <c r="G417" s="114"/>
      <c r="H417" s="114"/>
      <c r="I417" s="114"/>
      <c r="J417" s="114"/>
      <c r="K417" s="114"/>
      <c r="L417" s="114"/>
      <c r="M417" s="57" t="str">
        <f t="shared" si="65"/>
        <v/>
      </c>
      <c r="N417" s="115"/>
    </row>
    <row r="418" ht="19.5" customHeight="1">
      <c r="A418" s="8"/>
      <c r="B418" s="111"/>
      <c r="C418" s="23"/>
      <c r="D418" s="114"/>
      <c r="E418" s="47"/>
      <c r="F418" s="47"/>
      <c r="G418" s="114"/>
      <c r="H418" s="114"/>
      <c r="I418" s="114"/>
      <c r="J418" s="114"/>
      <c r="K418" s="114"/>
      <c r="L418" s="114"/>
      <c r="M418" s="57" t="str">
        <f t="shared" si="65"/>
        <v/>
      </c>
      <c r="N418" s="115"/>
    </row>
    <row r="419" ht="19.5" customHeight="1">
      <c r="A419" s="8"/>
      <c r="B419" s="111"/>
      <c r="C419" s="23"/>
      <c r="D419" s="114"/>
      <c r="E419" s="47"/>
      <c r="F419" s="47"/>
      <c r="G419" s="114"/>
      <c r="H419" s="114"/>
      <c r="I419" s="114"/>
      <c r="J419" s="114"/>
      <c r="K419" s="114"/>
      <c r="L419" s="114"/>
      <c r="M419" s="57" t="str">
        <f t="shared" si="65"/>
        <v/>
      </c>
      <c r="N419" s="115"/>
    </row>
    <row r="420" ht="19.5" customHeight="1">
      <c r="A420" s="8"/>
      <c r="B420" s="113"/>
      <c r="C420" s="20" t="s">
        <v>22</v>
      </c>
      <c r="D420" s="117">
        <v>510999.0</v>
      </c>
      <c r="E420" s="9" t="s">
        <v>131</v>
      </c>
      <c r="F420" s="44"/>
      <c r="G420" s="118"/>
      <c r="H420" s="118"/>
      <c r="I420" s="118"/>
      <c r="J420" s="118"/>
      <c r="K420" s="118"/>
      <c r="L420" s="118"/>
      <c r="M420" s="58">
        <f t="shared" si="65"/>
        <v>510999</v>
      </c>
      <c r="N420" s="119"/>
    </row>
    <row r="421" ht="19.5" customHeight="1">
      <c r="A421" s="8"/>
      <c r="B421" s="113"/>
      <c r="C421" s="20"/>
      <c r="D421" s="117">
        <v>7248.0</v>
      </c>
      <c r="E421" s="9" t="s">
        <v>207</v>
      </c>
      <c r="F421" s="44"/>
      <c r="G421" s="118"/>
      <c r="H421" s="118"/>
      <c r="I421" s="118"/>
      <c r="J421" s="118"/>
      <c r="K421" s="118"/>
      <c r="L421" s="118"/>
      <c r="M421" s="58">
        <f t="shared" si="65"/>
        <v>7248</v>
      </c>
      <c r="N421" s="119"/>
    </row>
    <row r="422" ht="19.5" customHeight="1">
      <c r="A422" s="8"/>
      <c r="B422" s="113"/>
      <c r="C422" s="20"/>
      <c r="D422" s="117">
        <v>279161.0</v>
      </c>
      <c r="E422" s="9" t="s">
        <v>173</v>
      </c>
      <c r="F422" s="58">
        <f>D422</f>
        <v>279161</v>
      </c>
      <c r="G422" s="118"/>
      <c r="H422" s="118"/>
      <c r="I422" s="118"/>
      <c r="J422" s="118"/>
      <c r="K422" s="118"/>
      <c r="L422" s="118"/>
      <c r="N422" s="119"/>
    </row>
    <row r="423" ht="19.5" customHeight="1">
      <c r="A423" s="8"/>
      <c r="B423" s="113"/>
      <c r="C423" s="20"/>
      <c r="D423" s="117">
        <v>202491.0</v>
      </c>
      <c r="E423" s="9" t="s">
        <v>208</v>
      </c>
      <c r="F423" s="44"/>
      <c r="G423" s="118"/>
      <c r="H423" s="118"/>
      <c r="I423" s="118"/>
      <c r="J423" s="118"/>
      <c r="K423" s="118"/>
      <c r="L423" s="118"/>
      <c r="M423" s="58">
        <f>D423</f>
        <v>202491</v>
      </c>
      <c r="N423" s="119"/>
    </row>
    <row r="424" ht="19.5" customHeight="1">
      <c r="A424" s="8"/>
      <c r="B424" s="113"/>
      <c r="C424" s="20"/>
      <c r="D424" s="117">
        <v>10000.0</v>
      </c>
      <c r="E424" s="48" t="s">
        <v>216</v>
      </c>
      <c r="F424" s="44"/>
      <c r="G424" s="118"/>
      <c r="H424" s="118"/>
      <c r="I424" s="118"/>
      <c r="J424" s="118"/>
      <c r="K424" s="58">
        <f>D424</f>
        <v>10000</v>
      </c>
      <c r="L424" s="118"/>
      <c r="N424" s="119"/>
    </row>
    <row r="425" ht="19.5" customHeight="1">
      <c r="A425" s="8"/>
      <c r="B425" s="113"/>
      <c r="C425" s="20"/>
      <c r="D425" s="117">
        <v>10000.0</v>
      </c>
      <c r="E425" s="48" t="s">
        <v>55</v>
      </c>
      <c r="F425" s="44"/>
      <c r="G425" s="118"/>
      <c r="H425" s="118"/>
      <c r="I425" s="58">
        <f t="shared" ref="I425:I433" si="66">D425</f>
        <v>10000</v>
      </c>
      <c r="K425" s="118"/>
      <c r="L425" s="118"/>
      <c r="N425" s="119"/>
    </row>
    <row r="426" ht="19.5" customHeight="1">
      <c r="A426" s="8"/>
      <c r="B426" s="113"/>
      <c r="C426" s="20"/>
      <c r="D426" s="117">
        <v>6000.0</v>
      </c>
      <c r="E426" s="48" t="s">
        <v>65</v>
      </c>
      <c r="F426" s="44"/>
      <c r="G426" s="118"/>
      <c r="H426" s="118"/>
      <c r="I426" s="58">
        <f t="shared" si="66"/>
        <v>6000</v>
      </c>
      <c r="K426" s="118"/>
      <c r="L426" s="118"/>
      <c r="N426" s="119"/>
    </row>
    <row r="427" ht="19.5" customHeight="1">
      <c r="A427" s="8"/>
      <c r="B427" s="113"/>
      <c r="C427" s="20"/>
      <c r="D427" s="117">
        <v>5000.0</v>
      </c>
      <c r="E427" s="48" t="s">
        <v>56</v>
      </c>
      <c r="F427" s="44"/>
      <c r="G427" s="118"/>
      <c r="H427" s="118"/>
      <c r="I427" s="58">
        <f t="shared" si="66"/>
        <v>5000</v>
      </c>
      <c r="K427" s="118"/>
      <c r="L427" s="118"/>
      <c r="N427" s="119"/>
    </row>
    <row r="428" ht="19.5" customHeight="1">
      <c r="A428" s="8"/>
      <c r="B428" s="113"/>
      <c r="C428" s="20"/>
      <c r="D428" s="117">
        <v>8000.0</v>
      </c>
      <c r="E428" s="48" t="s">
        <v>59</v>
      </c>
      <c r="F428" s="44"/>
      <c r="G428" s="118"/>
      <c r="H428" s="118"/>
      <c r="I428" s="58">
        <f t="shared" si="66"/>
        <v>8000</v>
      </c>
      <c r="K428" s="118"/>
      <c r="L428" s="118"/>
      <c r="N428" s="119"/>
    </row>
    <row r="429" ht="19.5" customHeight="1">
      <c r="A429" s="8"/>
      <c r="B429" s="113"/>
      <c r="C429" s="20"/>
      <c r="D429" s="117">
        <v>6000.0</v>
      </c>
      <c r="E429" s="48" t="s">
        <v>57</v>
      </c>
      <c r="F429" s="44"/>
      <c r="G429" s="118"/>
      <c r="H429" s="118"/>
      <c r="I429" s="58">
        <f t="shared" si="66"/>
        <v>6000</v>
      </c>
      <c r="K429" s="118"/>
      <c r="L429" s="118"/>
      <c r="N429" s="119"/>
    </row>
    <row r="430" ht="19.5" customHeight="1">
      <c r="A430" s="8"/>
      <c r="B430" s="113"/>
      <c r="C430" s="20"/>
      <c r="D430" s="117">
        <v>5000.0</v>
      </c>
      <c r="E430" s="48" t="s">
        <v>58</v>
      </c>
      <c r="F430" s="44"/>
      <c r="G430" s="118"/>
      <c r="H430" s="118"/>
      <c r="I430" s="58">
        <f t="shared" si="66"/>
        <v>5000</v>
      </c>
      <c r="K430" s="118"/>
      <c r="L430" s="118"/>
      <c r="N430" s="119"/>
    </row>
    <row r="431" ht="19.5" customHeight="1">
      <c r="A431" s="8"/>
      <c r="B431" s="113"/>
      <c r="C431" s="20"/>
      <c r="D431" s="117">
        <v>3000.0</v>
      </c>
      <c r="E431" s="48" t="s">
        <v>64</v>
      </c>
      <c r="F431" s="44"/>
      <c r="G431" s="118"/>
      <c r="H431" s="118"/>
      <c r="I431" s="58">
        <f t="shared" si="66"/>
        <v>3000</v>
      </c>
      <c r="K431" s="118"/>
      <c r="L431" s="118"/>
      <c r="N431" s="119"/>
    </row>
    <row r="432" ht="19.5" customHeight="1">
      <c r="A432" s="8"/>
      <c r="B432" s="113"/>
      <c r="C432" s="20"/>
      <c r="D432" s="117">
        <v>4000.0</v>
      </c>
      <c r="E432" s="48" t="s">
        <v>61</v>
      </c>
      <c r="F432" s="44"/>
      <c r="G432" s="118"/>
      <c r="H432" s="118"/>
      <c r="I432" s="58">
        <f t="shared" si="66"/>
        <v>4000</v>
      </c>
      <c r="K432" s="118"/>
      <c r="L432" s="118"/>
      <c r="N432" s="119"/>
    </row>
    <row r="433" ht="19.5" customHeight="1">
      <c r="A433" s="8"/>
      <c r="B433" s="113"/>
      <c r="C433" s="20"/>
      <c r="D433" s="117">
        <v>5000.0</v>
      </c>
      <c r="E433" s="48" t="s">
        <v>66</v>
      </c>
      <c r="F433" s="44"/>
      <c r="G433" s="118"/>
      <c r="H433" s="118"/>
      <c r="I433" s="58">
        <f t="shared" si="66"/>
        <v>5000</v>
      </c>
      <c r="K433" s="118"/>
      <c r="L433" s="118"/>
      <c r="N433" s="119"/>
    </row>
    <row r="434" ht="19.5" customHeight="1">
      <c r="A434" s="8"/>
      <c r="B434" s="113"/>
      <c r="C434" s="20"/>
      <c r="D434" s="117">
        <v>5000.0</v>
      </c>
      <c r="E434" s="48" t="s">
        <v>139</v>
      </c>
      <c r="F434" s="44"/>
      <c r="G434" s="118"/>
      <c r="H434" s="58">
        <f t="shared" ref="H434:H439" si="67">D434</f>
        <v>5000</v>
      </c>
      <c r="J434" s="118"/>
      <c r="K434" s="118"/>
      <c r="L434" s="118"/>
      <c r="N434" s="119"/>
    </row>
    <row r="435" ht="19.5" customHeight="1">
      <c r="A435" s="8"/>
      <c r="B435" s="113"/>
      <c r="C435" s="20"/>
      <c r="D435" s="117">
        <v>36000.0</v>
      </c>
      <c r="E435" s="48" t="s">
        <v>144</v>
      </c>
      <c r="F435" s="44"/>
      <c r="G435" s="118"/>
      <c r="H435" s="58">
        <f t="shared" si="67"/>
        <v>36000</v>
      </c>
      <c r="J435" s="118"/>
      <c r="K435" s="118"/>
      <c r="L435" s="118"/>
      <c r="N435" s="119"/>
    </row>
    <row r="436" ht="19.5" customHeight="1">
      <c r="A436" s="8"/>
      <c r="B436" s="113"/>
      <c r="C436" s="20"/>
      <c r="D436" s="117">
        <v>12000.0</v>
      </c>
      <c r="E436" s="48" t="s">
        <v>146</v>
      </c>
      <c r="F436" s="44"/>
      <c r="G436" s="118"/>
      <c r="H436" s="58">
        <f t="shared" si="67"/>
        <v>12000</v>
      </c>
      <c r="J436" s="118"/>
      <c r="K436" s="118"/>
      <c r="L436" s="118"/>
      <c r="N436" s="119"/>
    </row>
    <row r="437" ht="19.5" customHeight="1">
      <c r="A437" s="8"/>
      <c r="B437" s="113"/>
      <c r="C437" s="20"/>
      <c r="D437" s="117">
        <v>3250.0</v>
      </c>
      <c r="E437" s="48" t="s">
        <v>209</v>
      </c>
      <c r="F437" s="44"/>
      <c r="G437" s="118"/>
      <c r="H437" s="58">
        <f t="shared" si="67"/>
        <v>3250</v>
      </c>
      <c r="J437" s="118"/>
      <c r="K437" s="118"/>
      <c r="L437" s="118"/>
      <c r="N437" s="119"/>
    </row>
    <row r="438" ht="19.5" customHeight="1">
      <c r="A438" s="8"/>
      <c r="B438" s="113"/>
      <c r="C438" s="20"/>
      <c r="D438" s="117">
        <v>5900.0</v>
      </c>
      <c r="E438" s="48" t="s">
        <v>210</v>
      </c>
      <c r="F438" s="44"/>
      <c r="G438" s="118"/>
      <c r="H438" s="58">
        <f t="shared" si="67"/>
        <v>5900</v>
      </c>
      <c r="J438" s="118"/>
      <c r="K438" s="118"/>
      <c r="L438" s="118"/>
      <c r="N438" s="119"/>
    </row>
    <row r="439" ht="19.5" customHeight="1">
      <c r="A439" s="8"/>
      <c r="B439" s="113"/>
      <c r="C439" s="20"/>
      <c r="D439" s="117">
        <v>5500.0</v>
      </c>
      <c r="E439" s="48" t="s">
        <v>145</v>
      </c>
      <c r="F439" s="44"/>
      <c r="G439" s="118"/>
      <c r="H439" s="58">
        <f t="shared" si="67"/>
        <v>5500</v>
      </c>
      <c r="J439" s="118"/>
      <c r="K439" s="118"/>
      <c r="L439" s="118"/>
      <c r="N439" s="119"/>
    </row>
    <row r="440" ht="19.5" customHeight="1">
      <c r="A440" s="8"/>
      <c r="B440" s="113"/>
      <c r="C440" s="20"/>
      <c r="D440" s="117">
        <v>25000.0</v>
      </c>
      <c r="E440" s="48" t="s">
        <v>217</v>
      </c>
      <c r="F440" s="44"/>
      <c r="G440" s="118"/>
      <c r="H440" s="118"/>
      <c r="I440" s="118"/>
      <c r="J440" s="118"/>
      <c r="K440" s="118"/>
      <c r="L440" s="118"/>
      <c r="M440" s="58">
        <f>D440</f>
        <v>25000</v>
      </c>
      <c r="N440" s="119"/>
    </row>
    <row r="441" ht="19.5" customHeight="1">
      <c r="A441" s="8"/>
      <c r="B441" s="113"/>
      <c r="C441" s="20"/>
      <c r="D441" s="117">
        <v>5895.0</v>
      </c>
      <c r="E441" s="48" t="s">
        <v>218</v>
      </c>
      <c r="F441" s="44"/>
      <c r="G441" s="118"/>
      <c r="H441" s="118"/>
      <c r="I441" s="118"/>
      <c r="J441" s="58">
        <f t="shared" ref="J441:J442" si="68">D441</f>
        <v>5895</v>
      </c>
      <c r="L441" s="118"/>
      <c r="N441" s="119"/>
    </row>
    <row r="442" ht="19.5" customHeight="1">
      <c r="A442" s="8"/>
      <c r="B442" s="113"/>
      <c r="C442" s="20"/>
      <c r="D442" s="117">
        <v>10483.0</v>
      </c>
      <c r="E442" s="48" t="s">
        <v>219</v>
      </c>
      <c r="F442" s="44"/>
      <c r="G442" s="118"/>
      <c r="H442" s="118"/>
      <c r="I442" s="118"/>
      <c r="J442" s="58">
        <f t="shared" si="68"/>
        <v>10483</v>
      </c>
      <c r="L442" s="118"/>
      <c r="N442" s="119"/>
    </row>
    <row r="443" ht="19.5" customHeight="1">
      <c r="A443" s="8"/>
      <c r="B443" s="111"/>
      <c r="C443" s="23" t="s">
        <v>23</v>
      </c>
      <c r="D443" s="52">
        <v>369103.0</v>
      </c>
      <c r="E443" s="48" t="s">
        <v>220</v>
      </c>
      <c r="F443" s="47"/>
      <c r="G443" s="114"/>
      <c r="H443" s="114"/>
      <c r="I443" s="114"/>
      <c r="J443" s="114"/>
      <c r="K443" s="114"/>
      <c r="L443" s="114"/>
      <c r="M443" s="58">
        <f t="shared" ref="M443:M444" si="69">D443</f>
        <v>369103</v>
      </c>
      <c r="N443" s="115"/>
    </row>
    <row r="444" ht="19.5" customHeight="1">
      <c r="A444" s="8"/>
      <c r="B444" s="111"/>
      <c r="C444" s="23"/>
      <c r="D444" s="52">
        <v>6772.0</v>
      </c>
      <c r="E444" s="48" t="s">
        <v>207</v>
      </c>
      <c r="F444" s="47"/>
      <c r="G444" s="114"/>
      <c r="H444" s="114"/>
      <c r="I444" s="114"/>
      <c r="J444" s="114"/>
      <c r="K444" s="114"/>
      <c r="L444" s="114"/>
      <c r="M444" s="58">
        <f t="shared" si="69"/>
        <v>6772</v>
      </c>
      <c r="N444" s="115"/>
    </row>
    <row r="445" ht="19.5" customHeight="1">
      <c r="A445" s="8"/>
      <c r="B445" s="111"/>
      <c r="C445" s="23"/>
      <c r="D445" s="52">
        <v>509413.0</v>
      </c>
      <c r="E445" s="48" t="s">
        <v>173</v>
      </c>
      <c r="F445" s="58">
        <f>D445</f>
        <v>509413</v>
      </c>
      <c r="G445" s="114"/>
      <c r="H445" s="114"/>
      <c r="I445" s="114"/>
      <c r="J445" s="114"/>
      <c r="K445" s="114"/>
      <c r="L445" s="114"/>
      <c r="N445" s="115"/>
    </row>
    <row r="446" ht="19.5" customHeight="1">
      <c r="A446" s="8"/>
      <c r="B446" s="111"/>
      <c r="C446" s="23"/>
      <c r="D446" s="52">
        <v>302064.0</v>
      </c>
      <c r="E446" s="48" t="s">
        <v>208</v>
      </c>
      <c r="F446" s="47"/>
      <c r="G446" s="114"/>
      <c r="H446" s="114"/>
      <c r="I446" s="114"/>
      <c r="J446" s="114"/>
      <c r="K446" s="114"/>
      <c r="L446" s="114"/>
      <c r="M446" s="58">
        <f>D446</f>
        <v>302064</v>
      </c>
      <c r="N446" s="115"/>
    </row>
    <row r="447" ht="19.5" customHeight="1">
      <c r="A447" s="8"/>
      <c r="B447" s="111"/>
      <c r="C447" s="23"/>
      <c r="D447" s="11">
        <v>3000.0</v>
      </c>
      <c r="E447" s="48" t="s">
        <v>67</v>
      </c>
      <c r="F447" s="47"/>
      <c r="G447" s="114"/>
      <c r="H447" s="114"/>
      <c r="I447" s="57">
        <f t="shared" ref="I447:I454" si="70">D447</f>
        <v>3000</v>
      </c>
      <c r="J447" s="114"/>
      <c r="K447" s="114"/>
      <c r="L447" s="114"/>
      <c r="N447" s="115"/>
    </row>
    <row r="448" ht="19.5" customHeight="1">
      <c r="A448" s="8"/>
      <c r="B448" s="111"/>
      <c r="C448" s="23"/>
      <c r="D448" s="52">
        <v>5000.0</v>
      </c>
      <c r="E448" s="48" t="s">
        <v>58</v>
      </c>
      <c r="F448" s="47"/>
      <c r="G448" s="114"/>
      <c r="H448" s="114"/>
      <c r="I448" s="58">
        <f t="shared" si="70"/>
        <v>5000</v>
      </c>
      <c r="J448" s="114"/>
      <c r="K448" s="114"/>
      <c r="L448" s="114"/>
      <c r="N448" s="115"/>
    </row>
    <row r="449" ht="19.5" customHeight="1">
      <c r="A449" s="8"/>
      <c r="B449" s="111"/>
      <c r="C449" s="23"/>
      <c r="D449" s="52">
        <v>6000.0</v>
      </c>
      <c r="E449" s="48" t="s">
        <v>57</v>
      </c>
      <c r="F449" s="47"/>
      <c r="G449" s="114"/>
      <c r="H449" s="114"/>
      <c r="I449" s="58">
        <f t="shared" si="70"/>
        <v>6000</v>
      </c>
      <c r="J449" s="114"/>
      <c r="K449" s="114"/>
      <c r="L449" s="114"/>
      <c r="N449" s="115"/>
    </row>
    <row r="450" ht="19.5" customHeight="1">
      <c r="A450" s="8"/>
      <c r="B450" s="111"/>
      <c r="C450" s="23"/>
      <c r="D450" s="52">
        <v>5000.0</v>
      </c>
      <c r="E450" s="48" t="s">
        <v>59</v>
      </c>
      <c r="F450" s="47"/>
      <c r="G450" s="114"/>
      <c r="H450" s="114"/>
      <c r="I450" s="58">
        <f t="shared" si="70"/>
        <v>5000</v>
      </c>
      <c r="J450" s="114"/>
      <c r="K450" s="114"/>
      <c r="L450" s="114"/>
      <c r="N450" s="115"/>
    </row>
    <row r="451" ht="19.5" customHeight="1">
      <c r="A451" s="8"/>
      <c r="B451" s="111"/>
      <c r="C451" s="23"/>
      <c r="D451" s="52">
        <v>5000.0</v>
      </c>
      <c r="E451" s="48" t="s">
        <v>68</v>
      </c>
      <c r="F451" s="47"/>
      <c r="G451" s="114"/>
      <c r="H451" s="114"/>
      <c r="I451" s="58">
        <f t="shared" si="70"/>
        <v>5000</v>
      </c>
      <c r="J451" s="114"/>
      <c r="K451" s="114"/>
      <c r="L451" s="114"/>
      <c r="N451" s="115"/>
    </row>
    <row r="452" ht="19.5" customHeight="1">
      <c r="A452" s="8"/>
      <c r="B452" s="111"/>
      <c r="C452" s="23"/>
      <c r="D452" s="52">
        <v>3000.0</v>
      </c>
      <c r="E452" s="48" t="s">
        <v>65</v>
      </c>
      <c r="F452" s="47"/>
      <c r="G452" s="114"/>
      <c r="H452" s="114"/>
      <c r="I452" s="58">
        <f t="shared" si="70"/>
        <v>3000</v>
      </c>
      <c r="J452" s="114"/>
      <c r="K452" s="114"/>
      <c r="L452" s="114"/>
      <c r="N452" s="115"/>
    </row>
    <row r="453" ht="19.5" customHeight="1">
      <c r="A453" s="8"/>
      <c r="B453" s="111"/>
      <c r="C453" s="23"/>
      <c r="D453" s="52">
        <v>5000.0</v>
      </c>
      <c r="E453" s="48" t="s">
        <v>56</v>
      </c>
      <c r="F453" s="47"/>
      <c r="G453" s="114"/>
      <c r="H453" s="114"/>
      <c r="I453" s="58">
        <f t="shared" si="70"/>
        <v>5000</v>
      </c>
      <c r="J453" s="114"/>
      <c r="K453" s="114"/>
      <c r="L453" s="114"/>
      <c r="N453" s="115"/>
    </row>
    <row r="454" ht="19.5" customHeight="1">
      <c r="A454" s="8"/>
      <c r="B454" s="111"/>
      <c r="C454" s="23"/>
      <c r="D454" s="52">
        <v>3000.0</v>
      </c>
      <c r="E454" s="48" t="s">
        <v>64</v>
      </c>
      <c r="F454" s="47"/>
      <c r="G454" s="114"/>
      <c r="H454" s="114"/>
      <c r="I454" s="58">
        <f t="shared" si="70"/>
        <v>3000</v>
      </c>
      <c r="J454" s="114"/>
      <c r="K454" s="114"/>
      <c r="L454" s="114"/>
      <c r="N454" s="115"/>
    </row>
    <row r="455" ht="19.5" customHeight="1">
      <c r="A455" s="8"/>
      <c r="B455" s="111"/>
      <c r="C455" s="23"/>
      <c r="D455" s="52">
        <v>120355.0</v>
      </c>
      <c r="E455" s="48" t="s">
        <v>215</v>
      </c>
      <c r="F455" s="47"/>
      <c r="G455" s="114"/>
      <c r="H455" s="58">
        <f t="shared" ref="H455:H461" si="71">D456</f>
        <v>22500</v>
      </c>
      <c r="I455" s="114"/>
      <c r="J455" s="114"/>
      <c r="K455" s="114"/>
      <c r="L455" s="114"/>
      <c r="M455" s="58">
        <f>D455</f>
        <v>120355</v>
      </c>
      <c r="N455" s="115"/>
    </row>
    <row r="456" ht="19.5" customHeight="1">
      <c r="A456" s="8"/>
      <c r="B456" s="111"/>
      <c r="C456" s="23"/>
      <c r="D456" s="52">
        <v>22500.0</v>
      </c>
      <c r="E456" s="48" t="s">
        <v>146</v>
      </c>
      <c r="F456" s="47"/>
      <c r="G456" s="114"/>
      <c r="H456" s="58">
        <f t="shared" si="71"/>
        <v>345125</v>
      </c>
      <c r="I456" s="114"/>
      <c r="J456" s="114"/>
      <c r="K456" s="114"/>
      <c r="L456" s="114"/>
      <c r="N456" s="115"/>
    </row>
    <row r="457" ht="19.5" customHeight="1">
      <c r="A457" s="8"/>
      <c r="B457" s="111"/>
      <c r="C457" s="23"/>
      <c r="D457" s="52">
        <v>345125.0</v>
      </c>
      <c r="E457" s="48" t="s">
        <v>217</v>
      </c>
      <c r="F457" s="47"/>
      <c r="G457" s="114"/>
      <c r="H457" s="58">
        <f t="shared" si="71"/>
        <v>29000</v>
      </c>
      <c r="I457" s="114"/>
      <c r="J457" s="114"/>
      <c r="K457" s="114"/>
      <c r="L457" s="114"/>
      <c r="N457" s="115"/>
    </row>
    <row r="458" ht="19.5" customHeight="1">
      <c r="A458" s="8"/>
      <c r="B458" s="111"/>
      <c r="C458" s="23"/>
      <c r="D458" s="52">
        <v>29000.0</v>
      </c>
      <c r="E458" s="48" t="s">
        <v>144</v>
      </c>
      <c r="F458" s="47"/>
      <c r="G458" s="114"/>
      <c r="H458" s="58">
        <f t="shared" si="71"/>
        <v>700</v>
      </c>
      <c r="I458" s="114"/>
      <c r="J458" s="114"/>
      <c r="K458" s="114"/>
      <c r="L458" s="114"/>
      <c r="N458" s="115"/>
    </row>
    <row r="459" ht="19.5" customHeight="1">
      <c r="A459" s="8"/>
      <c r="B459" s="111"/>
      <c r="C459" s="23"/>
      <c r="D459" s="52">
        <v>700.0</v>
      </c>
      <c r="E459" s="48" t="s">
        <v>221</v>
      </c>
      <c r="F459" s="47"/>
      <c r="G459" s="114"/>
      <c r="H459" s="58">
        <f t="shared" si="71"/>
        <v>25000</v>
      </c>
      <c r="I459" s="114"/>
      <c r="J459" s="114"/>
      <c r="K459" s="114"/>
      <c r="L459" s="114"/>
      <c r="N459" s="115"/>
    </row>
    <row r="460" ht="19.5" customHeight="1">
      <c r="A460" s="8"/>
      <c r="B460" s="111"/>
      <c r="C460" s="23"/>
      <c r="D460" s="52">
        <v>25000.0</v>
      </c>
      <c r="E460" s="48" t="s">
        <v>145</v>
      </c>
      <c r="F460" s="47"/>
      <c r="G460" s="114"/>
      <c r="H460" s="58">
        <f t="shared" si="71"/>
        <v>1200</v>
      </c>
      <c r="I460" s="114"/>
      <c r="J460" s="114"/>
      <c r="K460" s="114"/>
      <c r="L460" s="114"/>
      <c r="N460" s="115"/>
    </row>
    <row r="461" ht="19.5" customHeight="1">
      <c r="A461" s="8"/>
      <c r="B461" s="111"/>
      <c r="C461" s="23"/>
      <c r="D461" s="52">
        <v>1200.0</v>
      </c>
      <c r="E461" s="48" t="s">
        <v>139</v>
      </c>
      <c r="F461" s="47"/>
      <c r="G461" s="114"/>
      <c r="H461" s="58">
        <f t="shared" si="71"/>
        <v>2000</v>
      </c>
      <c r="I461" s="114"/>
      <c r="J461" s="114"/>
      <c r="K461" s="114"/>
      <c r="L461" s="114"/>
      <c r="N461" s="115"/>
    </row>
    <row r="462" ht="19.5" customHeight="1">
      <c r="A462" s="8"/>
      <c r="B462" s="111"/>
      <c r="C462" s="23"/>
      <c r="D462" s="52">
        <v>2000.0</v>
      </c>
      <c r="E462" s="48" t="s">
        <v>210</v>
      </c>
      <c r="F462" s="47"/>
      <c r="G462" s="114"/>
      <c r="H462" s="114"/>
      <c r="I462" s="114"/>
      <c r="J462" s="114"/>
      <c r="K462" s="114"/>
      <c r="L462" s="114"/>
      <c r="N462" s="115"/>
    </row>
    <row r="463" ht="19.5" customHeight="1">
      <c r="A463" s="8"/>
      <c r="B463" s="16" t="s">
        <v>8</v>
      </c>
      <c r="C463" s="118"/>
      <c r="D463" s="41"/>
      <c r="E463" s="86"/>
      <c r="F463" s="86"/>
      <c r="G463" s="86"/>
      <c r="H463" s="86"/>
      <c r="I463" s="86"/>
      <c r="J463" s="86"/>
      <c r="K463" s="86"/>
      <c r="L463" s="86"/>
      <c r="M463" s="86"/>
      <c r="N463" s="86"/>
    </row>
  </sheetData>
  <mergeCells count="2">
    <mergeCell ref="B1:G1"/>
    <mergeCell ref="B3:N3"/>
  </mergeCell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18.88"/>
    <col customWidth="1" min="4" max="4" width="18.75"/>
    <col customWidth="1" min="5" max="5" width="25.13"/>
    <col customWidth="1" min="6" max="6" width="24.38"/>
    <col customWidth="1" min="7" max="7" width="20.63"/>
    <col customWidth="1" min="8" max="8" width="32.88"/>
    <col customWidth="1" min="9" max="9" width="19.5"/>
    <col customWidth="1" min="10" max="10" width="21.75"/>
    <col customWidth="1" min="11" max="11" width="22.75"/>
    <col customWidth="1" min="12" max="12" width="15.13"/>
    <col customWidth="1" min="13" max="13" width="20.13"/>
    <col customWidth="1" min="14" max="14" width="18.0"/>
  </cols>
  <sheetData>
    <row r="1" ht="70.5" customHeight="1">
      <c r="A1" s="1"/>
      <c r="B1" s="2" t="s">
        <v>0</v>
      </c>
      <c r="H1" s="2"/>
      <c r="I1" s="2"/>
      <c r="J1" s="2"/>
      <c r="K1" s="54"/>
      <c r="L1" s="54"/>
      <c r="M1" s="54"/>
      <c r="N1" s="2">
        <v>2023.0</v>
      </c>
    </row>
    <row r="2" ht="12.0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30.0" customHeight="1">
      <c r="A3" s="4"/>
      <c r="B3" s="5"/>
    </row>
    <row r="4" ht="24.0" customHeight="1">
      <c r="A4" s="6"/>
      <c r="B4" s="7" t="s">
        <v>9</v>
      </c>
      <c r="C4" s="7" t="s">
        <v>10</v>
      </c>
      <c r="D4" s="7" t="s">
        <v>2</v>
      </c>
      <c r="E4" s="7" t="s">
        <v>69</v>
      </c>
      <c r="F4" s="7" t="s">
        <v>70</v>
      </c>
      <c r="G4" s="7" t="s">
        <v>71</v>
      </c>
      <c r="H4" s="7" t="s">
        <v>72</v>
      </c>
      <c r="I4" s="7" t="s">
        <v>4</v>
      </c>
      <c r="J4" s="7" t="s">
        <v>73</v>
      </c>
      <c r="K4" s="7" t="s">
        <v>74</v>
      </c>
      <c r="L4" s="7" t="s">
        <v>75</v>
      </c>
      <c r="M4" s="7" t="s">
        <v>76</v>
      </c>
      <c r="N4" s="7" t="s">
        <v>77</v>
      </c>
    </row>
    <row r="5" ht="21.0" customHeight="1">
      <c r="A5" s="55"/>
      <c r="B5" s="56" t="s">
        <v>222</v>
      </c>
      <c r="C5" s="57" t="s">
        <v>12</v>
      </c>
      <c r="D5" s="58">
        <v>50000.0</v>
      </c>
      <c r="E5" s="57" t="s">
        <v>201</v>
      </c>
      <c r="F5" s="57"/>
      <c r="G5" s="57"/>
      <c r="H5" s="57"/>
      <c r="I5" s="57"/>
      <c r="J5" s="57"/>
      <c r="K5" s="58">
        <f>D5</f>
        <v>50000</v>
      </c>
      <c r="L5" s="57"/>
      <c r="N5" s="57"/>
    </row>
    <row r="6" ht="21.0" customHeight="1">
      <c r="A6" s="55"/>
      <c r="B6" s="56"/>
      <c r="C6" s="57"/>
      <c r="D6" s="57">
        <v>111.54</v>
      </c>
      <c r="E6" s="57" t="s">
        <v>202</v>
      </c>
      <c r="F6" s="57"/>
      <c r="G6" s="57"/>
      <c r="H6" s="57"/>
      <c r="I6" s="57"/>
      <c r="J6" s="57"/>
      <c r="K6" s="57"/>
      <c r="L6" s="57"/>
      <c r="M6" s="57">
        <f>D6</f>
        <v>111.54</v>
      </c>
      <c r="N6" s="57"/>
    </row>
    <row r="7" ht="21.0" customHeight="1">
      <c r="A7" s="122">
        <v>1.0</v>
      </c>
      <c r="B7" s="56"/>
      <c r="C7" s="57"/>
      <c r="D7" s="58">
        <v>100000.0</v>
      </c>
      <c r="E7" s="57" t="s">
        <v>190</v>
      </c>
      <c r="F7" s="57"/>
      <c r="G7" s="57"/>
      <c r="H7" s="57"/>
      <c r="I7" s="57"/>
      <c r="J7" s="57"/>
      <c r="K7" s="58">
        <f>D7</f>
        <v>100000</v>
      </c>
      <c r="L7" s="57"/>
      <c r="N7" s="57"/>
    </row>
    <row r="8" ht="21.0" customHeight="1">
      <c r="A8" s="122"/>
      <c r="B8" s="56"/>
      <c r="C8" s="57"/>
      <c r="D8" s="58">
        <v>12045.0</v>
      </c>
      <c r="E8" s="57" t="s">
        <v>157</v>
      </c>
      <c r="F8" s="57"/>
      <c r="G8" s="57"/>
      <c r="H8" s="57"/>
      <c r="I8" s="57"/>
      <c r="J8" s="57"/>
      <c r="K8" s="57"/>
      <c r="L8" s="57"/>
      <c r="M8" s="58">
        <f t="shared" ref="M8:M10" si="1">D8</f>
        <v>12045</v>
      </c>
      <c r="N8" s="57"/>
    </row>
    <row r="9" ht="21.0" customHeight="1">
      <c r="A9" s="55"/>
      <c r="B9" s="56"/>
      <c r="C9" s="57" t="s">
        <v>13</v>
      </c>
      <c r="D9" s="57">
        <v>210.0</v>
      </c>
      <c r="E9" s="57" t="s">
        <v>223</v>
      </c>
      <c r="F9" s="57"/>
      <c r="G9" s="57"/>
      <c r="H9" s="57"/>
      <c r="I9" s="57"/>
      <c r="J9" s="57"/>
      <c r="K9" s="57"/>
      <c r="L9" s="57"/>
      <c r="M9" s="57">
        <f t="shared" si="1"/>
        <v>210</v>
      </c>
      <c r="N9" s="57"/>
    </row>
    <row r="10" ht="21.0" customHeight="1">
      <c r="A10" s="55"/>
      <c r="B10" s="56"/>
      <c r="C10" s="57"/>
      <c r="D10" s="57">
        <v>42.0</v>
      </c>
      <c r="E10" s="57" t="s">
        <v>80</v>
      </c>
      <c r="F10" s="57"/>
      <c r="G10" s="57"/>
      <c r="H10" s="57"/>
      <c r="I10" s="57"/>
      <c r="J10" s="57"/>
      <c r="K10" s="57"/>
      <c r="L10" s="57"/>
      <c r="M10" s="57">
        <f t="shared" si="1"/>
        <v>42</v>
      </c>
      <c r="N10" s="57"/>
    </row>
    <row r="11" ht="21.0" customHeight="1">
      <c r="A11" s="55"/>
      <c r="B11" s="56"/>
      <c r="C11" s="57"/>
      <c r="D11" s="58">
        <v>74000.0</v>
      </c>
      <c r="E11" s="57" t="s">
        <v>201</v>
      </c>
      <c r="F11" s="57"/>
      <c r="G11" s="57"/>
      <c r="H11" s="57"/>
      <c r="I11" s="57"/>
      <c r="J11" s="57"/>
      <c r="K11" s="58">
        <f>D11</f>
        <v>74000</v>
      </c>
      <c r="L11" s="57"/>
      <c r="N11" s="57"/>
    </row>
    <row r="12" ht="21.0" customHeight="1">
      <c r="A12" s="55"/>
      <c r="B12" s="56"/>
      <c r="C12" s="57"/>
      <c r="D12" s="57">
        <v>307.2</v>
      </c>
      <c r="E12" s="57" t="s">
        <v>202</v>
      </c>
      <c r="F12" s="57"/>
      <c r="G12" s="57"/>
      <c r="H12" s="57"/>
      <c r="I12" s="57"/>
      <c r="J12" s="57"/>
      <c r="K12" s="57"/>
      <c r="L12" s="57"/>
      <c r="M12" s="57">
        <f>D12</f>
        <v>307.2</v>
      </c>
      <c r="N12" s="57"/>
    </row>
    <row r="13" ht="21.0" customHeight="1">
      <c r="A13" s="55"/>
      <c r="B13" s="56"/>
      <c r="C13" s="57"/>
      <c r="D13" s="58">
        <v>320000.0</v>
      </c>
      <c r="E13" s="58" t="s">
        <v>224</v>
      </c>
      <c r="F13" s="57"/>
      <c r="G13" s="57"/>
      <c r="H13" s="57"/>
      <c r="I13" s="57"/>
      <c r="J13" s="57"/>
      <c r="K13" s="57"/>
      <c r="L13" s="58">
        <f>D13</f>
        <v>320000</v>
      </c>
      <c r="N13" s="57"/>
    </row>
    <row r="14" ht="21.0" customHeight="1">
      <c r="A14" s="55"/>
      <c r="B14" s="56"/>
      <c r="C14" s="57"/>
      <c r="D14" s="58">
        <v>3119.0</v>
      </c>
      <c r="E14" s="58" t="s">
        <v>157</v>
      </c>
      <c r="F14" s="57"/>
      <c r="G14" s="57"/>
      <c r="H14" s="57"/>
      <c r="I14" s="57"/>
      <c r="J14" s="57"/>
      <c r="K14" s="57"/>
      <c r="L14" s="57"/>
      <c r="M14" s="58">
        <f>D14</f>
        <v>3119</v>
      </c>
      <c r="N14" s="57"/>
    </row>
    <row r="15" ht="21.0" customHeight="1">
      <c r="A15" s="55"/>
      <c r="B15" s="56"/>
      <c r="C15" s="57" t="s">
        <v>14</v>
      </c>
      <c r="D15" s="63"/>
      <c r="E15" s="63"/>
      <c r="F15" s="63"/>
      <c r="G15" s="63"/>
      <c r="H15" s="63"/>
      <c r="I15" s="63"/>
      <c r="J15" s="63"/>
      <c r="K15" s="63"/>
      <c r="L15" s="63"/>
      <c r="M15" s="57"/>
      <c r="N15" s="57"/>
    </row>
    <row r="16" ht="21.0" customHeight="1">
      <c r="A16" s="55"/>
      <c r="B16" s="56"/>
      <c r="C16" s="57" t="s">
        <v>15</v>
      </c>
      <c r="D16" s="58">
        <v>1099486.0</v>
      </c>
      <c r="E16" s="58" t="s">
        <v>224</v>
      </c>
      <c r="F16" s="58"/>
      <c r="G16" s="57"/>
      <c r="H16" s="57"/>
      <c r="I16" s="57"/>
      <c r="J16" s="57"/>
      <c r="K16" s="58"/>
      <c r="L16" s="58">
        <f t="shared" ref="L16:L18" si="2">D16</f>
        <v>1099486</v>
      </c>
      <c r="N16" s="57"/>
    </row>
    <row r="17" ht="21.0" customHeight="1">
      <c r="A17" s="55"/>
      <c r="B17" s="56"/>
      <c r="C17" s="57" t="s">
        <v>16</v>
      </c>
      <c r="D17" s="58">
        <v>100000.0</v>
      </c>
      <c r="E17" s="57" t="s">
        <v>225</v>
      </c>
      <c r="F17" s="57"/>
      <c r="G17" s="57"/>
      <c r="H17" s="57"/>
      <c r="I17" s="57"/>
      <c r="J17" s="57"/>
      <c r="K17" s="57"/>
      <c r="L17" s="58">
        <f t="shared" si="2"/>
        <v>100000</v>
      </c>
      <c r="N17" s="57"/>
    </row>
    <row r="18" ht="21.0" customHeight="1">
      <c r="A18" s="55"/>
      <c r="B18" s="56"/>
      <c r="C18" s="57"/>
      <c r="D18" s="58">
        <v>100000.0</v>
      </c>
      <c r="E18" s="57" t="s">
        <v>224</v>
      </c>
      <c r="F18" s="57"/>
      <c r="G18" s="57"/>
      <c r="H18" s="57"/>
      <c r="I18" s="57"/>
      <c r="J18" s="57"/>
      <c r="K18" s="57"/>
      <c r="L18" s="58">
        <f t="shared" si="2"/>
        <v>100000</v>
      </c>
      <c r="N18" s="57"/>
    </row>
    <row r="19" ht="21.0" customHeight="1">
      <c r="A19" s="55"/>
      <c r="B19" s="56"/>
      <c r="C19" s="57" t="s">
        <v>17</v>
      </c>
      <c r="D19" s="57">
        <v>0.0</v>
      </c>
      <c r="E19" s="57"/>
      <c r="F19" s="57"/>
      <c r="G19" s="57"/>
      <c r="H19" s="57"/>
      <c r="I19" s="57"/>
      <c r="J19" s="57"/>
      <c r="K19" s="57"/>
      <c r="L19" s="57"/>
      <c r="M19" s="57">
        <f>D19</f>
        <v>0</v>
      </c>
      <c r="N19" s="57"/>
    </row>
    <row r="20" ht="21.0" customHeight="1">
      <c r="A20" s="55"/>
      <c r="B20" s="56"/>
      <c r="C20" s="57"/>
      <c r="D20" s="58">
        <v>78000.0</v>
      </c>
      <c r="E20" s="57" t="s">
        <v>201</v>
      </c>
      <c r="F20" s="57"/>
      <c r="G20" s="57"/>
      <c r="H20" s="57"/>
      <c r="I20" s="57"/>
      <c r="J20" s="57"/>
      <c r="K20" s="58">
        <f>D20</f>
        <v>78000</v>
      </c>
      <c r="L20" s="57"/>
      <c r="N20" s="57"/>
    </row>
    <row r="21" ht="21.0" customHeight="1">
      <c r="A21" s="55"/>
      <c r="B21" s="56"/>
      <c r="C21" s="57" t="s">
        <v>18</v>
      </c>
      <c r="D21" s="57">
        <v>270.8</v>
      </c>
      <c r="E21" s="57" t="s">
        <v>202</v>
      </c>
      <c r="F21" s="57"/>
      <c r="G21" s="57"/>
      <c r="H21" s="57"/>
      <c r="I21" s="57"/>
      <c r="J21" s="57"/>
      <c r="K21" s="57"/>
      <c r="L21" s="57"/>
      <c r="M21" s="57">
        <f>D21</f>
        <v>270.8</v>
      </c>
      <c r="N21" s="57"/>
    </row>
    <row r="22" ht="21.0" customHeight="1">
      <c r="A22" s="55"/>
      <c r="B22" s="56"/>
      <c r="C22" s="57" t="s">
        <v>19</v>
      </c>
      <c r="D22" s="58">
        <v>1132000.0</v>
      </c>
      <c r="E22" s="57" t="s">
        <v>226</v>
      </c>
      <c r="F22" s="57"/>
      <c r="G22" s="57"/>
      <c r="H22" s="57"/>
      <c r="I22" s="57"/>
      <c r="J22" s="57"/>
      <c r="K22" s="58">
        <f>D22</f>
        <v>1132000</v>
      </c>
      <c r="L22" s="57"/>
      <c r="N22" s="57"/>
    </row>
    <row r="23" ht="21.0" customHeight="1">
      <c r="A23" s="55"/>
      <c r="B23" s="56"/>
      <c r="C23" s="57"/>
      <c r="D23" s="58">
        <v>3281.8</v>
      </c>
      <c r="E23" s="57" t="s">
        <v>202</v>
      </c>
      <c r="F23" s="57"/>
      <c r="G23" s="57"/>
      <c r="H23" s="57"/>
      <c r="I23" s="57"/>
      <c r="J23" s="57"/>
      <c r="K23" s="57"/>
      <c r="L23" s="57"/>
      <c r="M23" s="58">
        <f t="shared" ref="M23:M30" si="3">D23</f>
        <v>3281.8</v>
      </c>
      <c r="N23" s="57"/>
    </row>
    <row r="24" ht="21.0" customHeight="1">
      <c r="A24" s="55"/>
      <c r="B24" s="56"/>
      <c r="C24" s="57"/>
      <c r="D24" s="58">
        <v>10041.1</v>
      </c>
      <c r="E24" s="57" t="s">
        <v>141</v>
      </c>
      <c r="F24" s="57"/>
      <c r="G24" s="57"/>
      <c r="H24" s="57"/>
      <c r="I24" s="57"/>
      <c r="J24" s="57"/>
      <c r="K24" s="57"/>
      <c r="L24" s="57"/>
      <c r="M24" s="58">
        <f t="shared" si="3"/>
        <v>10041.1</v>
      </c>
      <c r="N24" s="57"/>
    </row>
    <row r="25" ht="21.0" customHeight="1">
      <c r="A25" s="55"/>
      <c r="B25" s="56"/>
      <c r="C25" s="57"/>
      <c r="D25" s="58">
        <v>63832.0</v>
      </c>
      <c r="E25" s="57" t="s">
        <v>86</v>
      </c>
      <c r="F25" s="57"/>
      <c r="G25" s="57"/>
      <c r="H25" s="57"/>
      <c r="I25" s="57"/>
      <c r="J25" s="57"/>
      <c r="K25" s="57"/>
      <c r="L25" s="57"/>
      <c r="M25" s="58">
        <f t="shared" si="3"/>
        <v>63832</v>
      </c>
      <c r="N25" s="57"/>
    </row>
    <row r="26" ht="21.0" customHeight="1">
      <c r="A26" s="55"/>
      <c r="B26" s="56"/>
      <c r="C26" s="57"/>
      <c r="D26" s="58">
        <v>600.0</v>
      </c>
      <c r="E26" s="57" t="s">
        <v>87</v>
      </c>
      <c r="F26" s="57"/>
      <c r="G26" s="57"/>
      <c r="H26" s="57"/>
      <c r="I26" s="57"/>
      <c r="J26" s="57"/>
      <c r="K26" s="57"/>
      <c r="L26" s="57"/>
      <c r="M26" s="58">
        <f t="shared" si="3"/>
        <v>600</v>
      </c>
      <c r="N26" s="57"/>
    </row>
    <row r="27" ht="21.0" customHeight="1">
      <c r="A27" s="55"/>
      <c r="B27" s="56"/>
      <c r="C27" s="57"/>
      <c r="D27" s="58">
        <v>84550.0</v>
      </c>
      <c r="E27" s="57" t="s">
        <v>157</v>
      </c>
      <c r="F27" s="57"/>
      <c r="G27" s="57"/>
      <c r="H27" s="57"/>
      <c r="I27" s="57"/>
      <c r="J27" s="57"/>
      <c r="K27" s="57"/>
      <c r="L27" s="57"/>
      <c r="M27" s="58">
        <f t="shared" si="3"/>
        <v>84550</v>
      </c>
      <c r="N27" s="57"/>
    </row>
    <row r="28" ht="19.5" customHeight="1">
      <c r="A28" s="55"/>
      <c r="B28" s="56"/>
      <c r="C28" s="57" t="s">
        <v>20</v>
      </c>
      <c r="D28" s="57">
        <v>0.0</v>
      </c>
      <c r="E28" s="57"/>
      <c r="F28" s="57"/>
      <c r="G28" s="57"/>
      <c r="H28" s="57"/>
      <c r="I28" s="57"/>
      <c r="J28" s="57"/>
      <c r="K28" s="57"/>
      <c r="L28" s="57"/>
      <c r="M28" s="57">
        <f t="shared" si="3"/>
        <v>0</v>
      </c>
      <c r="N28" s="57"/>
    </row>
    <row r="29" ht="19.5" customHeight="1">
      <c r="A29" s="55"/>
      <c r="B29" s="56"/>
      <c r="C29" s="57" t="s">
        <v>21</v>
      </c>
      <c r="D29" s="57">
        <v>665.0</v>
      </c>
      <c r="E29" s="57" t="s">
        <v>227</v>
      </c>
      <c r="F29" s="57"/>
      <c r="G29" s="57"/>
      <c r="H29" s="57"/>
      <c r="I29" s="57"/>
      <c r="J29" s="57"/>
      <c r="K29" s="57"/>
      <c r="L29" s="57"/>
      <c r="M29" s="57">
        <f t="shared" si="3"/>
        <v>665</v>
      </c>
      <c r="N29" s="57"/>
    </row>
    <row r="30" ht="19.5" customHeight="1">
      <c r="A30" s="55"/>
      <c r="B30" s="56"/>
      <c r="C30" s="57"/>
      <c r="D30" s="57">
        <v>133.0</v>
      </c>
      <c r="E30" s="57" t="s">
        <v>228</v>
      </c>
      <c r="F30" s="57"/>
      <c r="G30" s="57"/>
      <c r="H30" s="57"/>
      <c r="I30" s="57"/>
      <c r="J30" s="57"/>
      <c r="K30" s="57"/>
      <c r="L30" s="57"/>
      <c r="M30" s="57">
        <f t="shared" si="3"/>
        <v>133</v>
      </c>
      <c r="N30" s="57"/>
    </row>
    <row r="31" ht="19.5" customHeight="1">
      <c r="A31" s="55"/>
      <c r="B31" s="56"/>
      <c r="C31" s="57"/>
      <c r="D31" s="58">
        <v>626000.0</v>
      </c>
      <c r="E31" s="57" t="s">
        <v>201</v>
      </c>
      <c r="F31" s="57"/>
      <c r="G31" s="57"/>
      <c r="H31" s="57"/>
      <c r="I31" s="57"/>
      <c r="J31" s="57"/>
      <c r="K31" s="58">
        <f>D31</f>
        <v>626000</v>
      </c>
      <c r="L31" s="57"/>
      <c r="N31" s="57"/>
    </row>
    <row r="32" ht="19.5" customHeight="1">
      <c r="A32" s="55"/>
      <c r="B32" s="56"/>
      <c r="C32" s="57"/>
      <c r="D32" s="58">
        <v>2881.0</v>
      </c>
      <c r="E32" s="57" t="s">
        <v>202</v>
      </c>
      <c r="F32" s="57"/>
      <c r="G32" s="57"/>
      <c r="H32" s="57"/>
      <c r="I32" s="57"/>
      <c r="J32" s="57"/>
      <c r="K32" s="57"/>
      <c r="L32" s="57"/>
      <c r="M32" s="58">
        <f t="shared" ref="M32:M35" si="4">D32</f>
        <v>2881</v>
      </c>
      <c r="N32" s="57"/>
    </row>
    <row r="33" ht="19.5" customHeight="1">
      <c r="A33" s="55"/>
      <c r="B33" s="56"/>
      <c r="C33" s="57"/>
      <c r="D33" s="94">
        <v>5020.55</v>
      </c>
      <c r="E33" s="57" t="s">
        <v>141</v>
      </c>
      <c r="F33" s="57"/>
      <c r="G33" s="57"/>
      <c r="H33" s="57"/>
      <c r="I33" s="57"/>
      <c r="J33" s="57"/>
      <c r="K33" s="57"/>
      <c r="L33" s="57"/>
      <c r="M33" s="94">
        <f t="shared" si="4"/>
        <v>5020.55</v>
      </c>
      <c r="N33" s="57"/>
    </row>
    <row r="34" ht="19.5" customHeight="1">
      <c r="A34" s="55"/>
      <c r="B34" s="56"/>
      <c r="C34" s="57"/>
      <c r="D34" s="58">
        <v>15000.0</v>
      </c>
      <c r="E34" s="57" t="s">
        <v>86</v>
      </c>
      <c r="F34" s="57"/>
      <c r="G34" s="57"/>
      <c r="H34" s="57"/>
      <c r="I34" s="57"/>
      <c r="J34" s="57"/>
      <c r="K34" s="57"/>
      <c r="L34" s="57"/>
      <c r="M34" s="58">
        <f t="shared" si="4"/>
        <v>15000</v>
      </c>
      <c r="N34" s="57"/>
    </row>
    <row r="35" ht="19.5" customHeight="1">
      <c r="A35" s="55"/>
      <c r="B35" s="56"/>
      <c r="C35" s="57"/>
      <c r="D35" s="57">
        <v>150.0</v>
      </c>
      <c r="E35" s="57" t="s">
        <v>87</v>
      </c>
      <c r="F35" s="57"/>
      <c r="G35" s="57"/>
      <c r="H35" s="57"/>
      <c r="I35" s="57"/>
      <c r="J35" s="57"/>
      <c r="K35" s="57"/>
      <c r="L35" s="57"/>
      <c r="M35" s="57">
        <f t="shared" si="4"/>
        <v>150</v>
      </c>
      <c r="N35" s="57"/>
    </row>
    <row r="36" ht="19.5" customHeight="1">
      <c r="A36" s="55"/>
      <c r="B36" s="56"/>
      <c r="C36" s="57"/>
      <c r="D36" s="58">
        <v>2000000.0</v>
      </c>
      <c r="E36" s="57" t="s">
        <v>90</v>
      </c>
      <c r="F36" s="57"/>
      <c r="G36" s="57"/>
      <c r="H36" s="57"/>
      <c r="I36" s="57"/>
      <c r="J36" s="57"/>
      <c r="K36" s="57"/>
      <c r="L36" s="58">
        <f>D36</f>
        <v>2000000</v>
      </c>
      <c r="N36" s="57"/>
    </row>
    <row r="37" ht="19.5" customHeight="1">
      <c r="A37" s="55"/>
      <c r="B37" s="56"/>
      <c r="C37" s="57"/>
      <c r="D37" s="58">
        <v>160000.0</v>
      </c>
      <c r="E37" s="57" t="s">
        <v>205</v>
      </c>
      <c r="F37" s="57"/>
      <c r="G37" s="57"/>
      <c r="H37" s="57"/>
      <c r="I37" s="57"/>
      <c r="J37" s="57"/>
      <c r="K37" s="58">
        <f>D37</f>
        <v>160000</v>
      </c>
      <c r="L37" s="57"/>
      <c r="N37" s="57"/>
    </row>
    <row r="38" ht="19.5" customHeight="1">
      <c r="A38" s="55"/>
      <c r="B38" s="56"/>
      <c r="C38" s="57"/>
      <c r="D38" s="58">
        <v>24015.0</v>
      </c>
      <c r="E38" s="57" t="s">
        <v>157</v>
      </c>
      <c r="F38" s="57"/>
      <c r="G38" s="57"/>
      <c r="H38" s="57"/>
      <c r="I38" s="57"/>
      <c r="J38" s="57"/>
      <c r="K38" s="57"/>
      <c r="L38" s="57"/>
      <c r="M38" s="58">
        <f t="shared" ref="M38:M40" si="5">D38</f>
        <v>24015</v>
      </c>
      <c r="N38" s="57"/>
    </row>
    <row r="39" ht="19.5" customHeight="1">
      <c r="A39" s="55"/>
      <c r="B39" s="56"/>
      <c r="C39" s="57" t="s">
        <v>22</v>
      </c>
      <c r="D39" s="58">
        <v>1715.0</v>
      </c>
      <c r="E39" s="57" t="s">
        <v>227</v>
      </c>
      <c r="F39" s="57"/>
      <c r="G39" s="57"/>
      <c r="H39" s="57"/>
      <c r="I39" s="57"/>
      <c r="J39" s="57"/>
      <c r="K39" s="57"/>
      <c r="L39" s="57"/>
      <c r="M39" s="58">
        <f t="shared" si="5"/>
        <v>1715</v>
      </c>
      <c r="N39" s="57"/>
    </row>
    <row r="40" ht="19.5" customHeight="1">
      <c r="A40" s="55"/>
      <c r="B40" s="56"/>
      <c r="C40" s="57"/>
      <c r="D40" s="57">
        <v>343.0</v>
      </c>
      <c r="E40" s="57" t="s">
        <v>229</v>
      </c>
      <c r="F40" s="57"/>
      <c r="G40" s="57"/>
      <c r="H40" s="57"/>
      <c r="I40" s="57"/>
      <c r="J40" s="57"/>
      <c r="K40" s="57"/>
      <c r="L40" s="57"/>
      <c r="M40" s="57">
        <f t="shared" si="5"/>
        <v>343</v>
      </c>
      <c r="N40" s="57"/>
    </row>
    <row r="41" ht="19.5" customHeight="1">
      <c r="A41" s="55"/>
      <c r="B41" s="56"/>
      <c r="C41" s="57"/>
      <c r="D41" s="58">
        <v>462000.0</v>
      </c>
      <c r="E41" s="57" t="s">
        <v>201</v>
      </c>
      <c r="F41" s="57"/>
      <c r="G41" s="57"/>
      <c r="H41" s="57"/>
      <c r="I41" s="57"/>
      <c r="J41" s="57"/>
      <c r="K41" s="58">
        <f>D41</f>
        <v>462000</v>
      </c>
      <c r="L41" s="57"/>
      <c r="N41" s="57"/>
    </row>
    <row r="42" ht="19.5" customHeight="1">
      <c r="A42" s="55"/>
      <c r="B42" s="56"/>
      <c r="C42" s="57"/>
      <c r="D42" s="94">
        <v>1372.3</v>
      </c>
      <c r="E42" s="57" t="s">
        <v>202</v>
      </c>
      <c r="F42" s="57"/>
      <c r="G42" s="57"/>
      <c r="H42" s="57"/>
      <c r="I42" s="57"/>
      <c r="J42" s="57"/>
      <c r="K42" s="57"/>
      <c r="L42" s="57"/>
      <c r="M42" s="94">
        <f t="shared" ref="M42:M47" si="6">D42</f>
        <v>1372.3</v>
      </c>
      <c r="N42" s="57"/>
    </row>
    <row r="43" ht="19.5" customHeight="1">
      <c r="A43" s="55"/>
      <c r="B43" s="56"/>
      <c r="C43" s="57"/>
      <c r="D43" s="94">
        <v>5020.55</v>
      </c>
      <c r="E43" s="57" t="s">
        <v>141</v>
      </c>
      <c r="F43" s="57"/>
      <c r="G43" s="57"/>
      <c r="H43" s="57"/>
      <c r="I43" s="57"/>
      <c r="J43" s="57"/>
      <c r="K43" s="57"/>
      <c r="L43" s="57"/>
      <c r="M43" s="94">
        <f t="shared" si="6"/>
        <v>5020.55</v>
      </c>
      <c r="N43" s="57"/>
    </row>
    <row r="44" ht="19.5" customHeight="1">
      <c r="A44" s="55"/>
      <c r="B44" s="56"/>
      <c r="C44" s="57"/>
      <c r="D44" s="58">
        <v>15000.0</v>
      </c>
      <c r="E44" s="57" t="s">
        <v>86</v>
      </c>
      <c r="F44" s="57"/>
      <c r="G44" s="57"/>
      <c r="H44" s="57"/>
      <c r="I44" s="57"/>
      <c r="J44" s="57"/>
      <c r="K44" s="57"/>
      <c r="L44" s="57"/>
      <c r="M44" s="58">
        <f t="shared" si="6"/>
        <v>15000</v>
      </c>
      <c r="N44" s="57"/>
    </row>
    <row r="45" ht="19.5" customHeight="1">
      <c r="A45" s="55"/>
      <c r="B45" s="56"/>
      <c r="C45" s="57"/>
      <c r="D45" s="57">
        <v>150.0</v>
      </c>
      <c r="E45" s="57" t="s">
        <v>87</v>
      </c>
      <c r="F45" s="57"/>
      <c r="G45" s="57"/>
      <c r="H45" s="57"/>
      <c r="I45" s="57"/>
      <c r="J45" s="57"/>
      <c r="K45" s="57"/>
      <c r="L45" s="57"/>
      <c r="M45" s="57">
        <f t="shared" si="6"/>
        <v>150</v>
      </c>
      <c r="N45" s="57"/>
    </row>
    <row r="46" ht="19.5" customHeight="1">
      <c r="A46" s="55"/>
      <c r="B46" s="56"/>
      <c r="C46" s="57" t="s">
        <v>23</v>
      </c>
      <c r="D46" s="57">
        <v>2135.0</v>
      </c>
      <c r="E46" s="57" t="s">
        <v>223</v>
      </c>
      <c r="F46" s="57"/>
      <c r="G46" s="57"/>
      <c r="H46" s="57"/>
      <c r="I46" s="57"/>
      <c r="J46" s="57"/>
      <c r="K46" s="57"/>
      <c r="L46" s="57"/>
      <c r="M46" s="57">
        <f t="shared" si="6"/>
        <v>2135</v>
      </c>
      <c r="N46" s="57"/>
    </row>
    <row r="47" ht="19.5" customHeight="1">
      <c r="A47" s="55"/>
      <c r="B47" s="56"/>
      <c r="C47" s="57"/>
      <c r="D47" s="57">
        <v>427.0</v>
      </c>
      <c r="E47" s="57" t="s">
        <v>80</v>
      </c>
      <c r="F47" s="57"/>
      <c r="G47" s="57"/>
      <c r="H47" s="57"/>
      <c r="I47" s="57"/>
      <c r="J47" s="57"/>
      <c r="K47" s="57"/>
      <c r="L47" s="57"/>
      <c r="M47" s="57">
        <f t="shared" si="6"/>
        <v>427</v>
      </c>
      <c r="N47" s="57"/>
    </row>
    <row r="48" ht="19.5" customHeight="1">
      <c r="A48" s="55"/>
      <c r="B48" s="56"/>
      <c r="C48" s="57"/>
      <c r="D48" s="58">
        <v>712000.0</v>
      </c>
      <c r="E48" s="57" t="s">
        <v>230</v>
      </c>
      <c r="F48" s="57"/>
      <c r="G48" s="57"/>
      <c r="H48" s="57"/>
      <c r="I48" s="57"/>
      <c r="J48" s="57"/>
      <c r="K48" s="58">
        <f>D48</f>
        <v>712000</v>
      </c>
      <c r="L48" s="57"/>
      <c r="N48" s="57"/>
    </row>
    <row r="49" ht="19.5" customHeight="1">
      <c r="A49" s="55"/>
      <c r="B49" s="56"/>
      <c r="C49" s="57"/>
      <c r="D49" s="94">
        <v>1661.2</v>
      </c>
      <c r="E49" s="57" t="s">
        <v>202</v>
      </c>
      <c r="F49" s="57"/>
      <c r="G49" s="57"/>
      <c r="H49" s="57"/>
      <c r="I49" s="57"/>
      <c r="J49" s="57"/>
      <c r="K49" s="57"/>
      <c r="L49" s="57"/>
      <c r="M49" s="94">
        <f t="shared" ref="M49:M52" si="7">D49</f>
        <v>1661.2</v>
      </c>
      <c r="N49" s="57"/>
    </row>
    <row r="50" ht="19.5" customHeight="1">
      <c r="A50" s="55"/>
      <c r="B50" s="56"/>
      <c r="C50" s="57"/>
      <c r="D50" s="94">
        <v>5020.55</v>
      </c>
      <c r="E50" s="57" t="s">
        <v>141</v>
      </c>
      <c r="F50" s="57"/>
      <c r="G50" s="57"/>
      <c r="H50" s="57"/>
      <c r="I50" s="57"/>
      <c r="J50" s="57"/>
      <c r="K50" s="57"/>
      <c r="L50" s="57"/>
      <c r="M50" s="94">
        <f t="shared" si="7"/>
        <v>5020.55</v>
      </c>
      <c r="N50" s="57"/>
    </row>
    <row r="51" ht="19.5" customHeight="1">
      <c r="A51" s="55"/>
      <c r="B51" s="56"/>
      <c r="C51" s="57"/>
      <c r="D51" s="58">
        <v>35276.0</v>
      </c>
      <c r="E51" s="57" t="s">
        <v>86</v>
      </c>
      <c r="F51" s="57"/>
      <c r="G51" s="57"/>
      <c r="H51" s="57"/>
      <c r="I51" s="57"/>
      <c r="J51" s="57"/>
      <c r="K51" s="57"/>
      <c r="L51" s="57"/>
      <c r="M51" s="58">
        <f t="shared" si="7"/>
        <v>35276</v>
      </c>
      <c r="N51" s="57"/>
    </row>
    <row r="52" ht="19.5" customHeight="1">
      <c r="A52" s="55"/>
      <c r="B52" s="56"/>
      <c r="C52" s="57"/>
      <c r="D52" s="57">
        <v>300.0</v>
      </c>
      <c r="E52" s="57" t="s">
        <v>87</v>
      </c>
      <c r="F52" s="57"/>
      <c r="G52" s="57"/>
      <c r="H52" s="57"/>
      <c r="I52" s="57"/>
      <c r="J52" s="57"/>
      <c r="K52" s="57"/>
      <c r="L52" s="57"/>
      <c r="M52" s="57">
        <f t="shared" si="7"/>
        <v>300</v>
      </c>
      <c r="N52" s="57"/>
    </row>
    <row r="53" ht="19.5" customHeight="1">
      <c r="A53" s="55"/>
      <c r="B53" s="56"/>
      <c r="C53" s="57"/>
      <c r="D53" s="58">
        <v>210000.0</v>
      </c>
      <c r="E53" s="57" t="s">
        <v>205</v>
      </c>
      <c r="F53" s="57"/>
      <c r="G53" s="57"/>
      <c r="H53" s="57"/>
      <c r="I53" s="57"/>
      <c r="J53" s="57"/>
      <c r="K53" s="58">
        <f>D53</f>
        <v>210000</v>
      </c>
      <c r="L53" s="57"/>
      <c r="N53" s="57"/>
    </row>
    <row r="54" ht="19.5" customHeight="1">
      <c r="A54" s="55"/>
      <c r="B54" s="56"/>
      <c r="C54" s="57"/>
      <c r="D54" s="58">
        <v>30859.0</v>
      </c>
      <c r="E54" s="57" t="s">
        <v>157</v>
      </c>
      <c r="F54" s="57"/>
      <c r="G54" s="57"/>
      <c r="H54" s="57"/>
      <c r="I54" s="57"/>
      <c r="J54" s="57"/>
      <c r="K54" s="57"/>
      <c r="L54" s="57"/>
      <c r="M54" s="58">
        <f t="shared" ref="M54:M57" si="8">D54</f>
        <v>30859</v>
      </c>
      <c r="N54" s="57"/>
    </row>
    <row r="55" ht="19.5" customHeight="1">
      <c r="A55" s="55"/>
      <c r="B55" s="66" t="s">
        <v>8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 t="str">
        <f t="shared" si="8"/>
        <v/>
      </c>
      <c r="N55" s="57"/>
    </row>
    <row r="56" ht="19.5" customHeight="1">
      <c r="A56" s="55"/>
      <c r="B56" s="56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 t="str">
        <f t="shared" si="8"/>
        <v/>
      </c>
      <c r="N56" s="57"/>
    </row>
    <row r="57" ht="19.5" customHeight="1">
      <c r="A57" s="55"/>
      <c r="B57" s="56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 t="str">
        <f t="shared" si="8"/>
        <v/>
      </c>
      <c r="N57" s="57"/>
    </row>
    <row r="58" ht="19.5" customHeight="1">
      <c r="A58" s="8"/>
      <c r="B58" s="67" t="s">
        <v>231</v>
      </c>
      <c r="C58" s="68" t="s">
        <v>12</v>
      </c>
      <c r="D58" s="110">
        <v>176988.7</v>
      </c>
      <c r="E58" s="69" t="s">
        <v>201</v>
      </c>
      <c r="F58" s="69"/>
      <c r="G58" s="69"/>
      <c r="H58" s="69"/>
      <c r="I58" s="69"/>
      <c r="J58" s="69"/>
      <c r="K58" s="94">
        <f>D58</f>
        <v>176988.7</v>
      </c>
      <c r="L58" s="69"/>
      <c r="N58" s="57"/>
    </row>
    <row r="59" ht="19.5" customHeight="1">
      <c r="A59" s="8"/>
      <c r="B59" s="67"/>
      <c r="C59" s="68"/>
      <c r="D59" s="110">
        <v>1030.73</v>
      </c>
      <c r="E59" s="69" t="s">
        <v>202</v>
      </c>
      <c r="F59" s="69"/>
      <c r="G59" s="69"/>
      <c r="H59" s="69"/>
      <c r="I59" s="69"/>
      <c r="J59" s="69"/>
      <c r="K59" s="69"/>
      <c r="L59" s="69"/>
      <c r="M59" s="94">
        <f>D59</f>
        <v>1030.73</v>
      </c>
      <c r="N59" s="57"/>
    </row>
    <row r="60" ht="19.5" customHeight="1">
      <c r="A60" s="8"/>
      <c r="B60" s="67"/>
      <c r="C60" s="68"/>
      <c r="D60" s="76">
        <v>623000.0</v>
      </c>
      <c r="E60" s="69" t="s">
        <v>205</v>
      </c>
      <c r="F60" s="69"/>
      <c r="G60" s="69"/>
      <c r="H60" s="69"/>
      <c r="I60" s="69"/>
      <c r="J60" s="69"/>
      <c r="K60" s="58">
        <f>D60</f>
        <v>623000</v>
      </c>
      <c r="L60" s="69"/>
      <c r="N60" s="57"/>
    </row>
    <row r="61" ht="19.5" customHeight="1">
      <c r="A61" s="8"/>
      <c r="B61" s="67"/>
      <c r="C61" s="68"/>
      <c r="D61" s="76">
        <v>32582.0</v>
      </c>
      <c r="E61" s="69" t="s">
        <v>86</v>
      </c>
      <c r="F61" s="69"/>
      <c r="G61" s="69"/>
      <c r="H61" s="69"/>
      <c r="I61" s="69"/>
      <c r="J61" s="69"/>
      <c r="K61" s="69"/>
      <c r="L61" s="69"/>
      <c r="M61" s="58">
        <f t="shared" ref="M61:M62" si="9">D61</f>
        <v>32582</v>
      </c>
      <c r="N61" s="57"/>
    </row>
    <row r="62" ht="19.5" customHeight="1">
      <c r="A62" s="8"/>
      <c r="B62" s="67"/>
      <c r="C62" s="68"/>
      <c r="D62" s="69">
        <v>300.0</v>
      </c>
      <c r="E62" s="69" t="s">
        <v>87</v>
      </c>
      <c r="F62" s="69"/>
      <c r="G62" s="69"/>
      <c r="H62" s="69"/>
      <c r="I62" s="69"/>
      <c r="J62" s="69"/>
      <c r="K62" s="69"/>
      <c r="L62" s="69"/>
      <c r="M62" s="57">
        <f t="shared" si="9"/>
        <v>300</v>
      </c>
      <c r="N62" s="57"/>
    </row>
    <row r="63" ht="19.5" customHeight="1">
      <c r="A63" s="8"/>
      <c r="B63" s="70"/>
      <c r="C63" s="71" t="s">
        <v>13</v>
      </c>
      <c r="D63" s="109">
        <v>368488.7</v>
      </c>
      <c r="E63" s="72" t="s">
        <v>201</v>
      </c>
      <c r="F63" s="72"/>
      <c r="G63" s="72"/>
      <c r="H63" s="72"/>
      <c r="I63" s="72"/>
      <c r="J63" s="72"/>
      <c r="K63" s="94">
        <f>D63</f>
        <v>368488.7</v>
      </c>
      <c r="L63" s="72"/>
      <c r="N63" s="57"/>
    </row>
    <row r="64" ht="19.5" customHeight="1">
      <c r="A64" s="8"/>
      <c r="B64" s="70"/>
      <c r="C64" s="71"/>
      <c r="D64" s="109">
        <v>1522.36</v>
      </c>
      <c r="E64" s="72" t="s">
        <v>202</v>
      </c>
      <c r="F64" s="72"/>
      <c r="G64" s="72"/>
      <c r="H64" s="72"/>
      <c r="I64" s="72"/>
      <c r="J64" s="72"/>
      <c r="K64" s="72"/>
      <c r="L64" s="72"/>
      <c r="M64" s="94">
        <f>D64</f>
        <v>1522.36</v>
      </c>
      <c r="N64" s="57"/>
    </row>
    <row r="65" ht="19.5" customHeight="1">
      <c r="A65" s="8"/>
      <c r="B65" s="70"/>
      <c r="C65" s="71"/>
      <c r="D65" s="26">
        <v>200000.0</v>
      </c>
      <c r="E65" s="72" t="s">
        <v>190</v>
      </c>
      <c r="F65" s="72"/>
      <c r="G65" s="72"/>
      <c r="H65" s="72"/>
      <c r="I65" s="72"/>
      <c r="J65" s="72"/>
      <c r="K65" s="58">
        <f>D65</f>
        <v>200000</v>
      </c>
      <c r="L65" s="72"/>
      <c r="N65" s="57"/>
    </row>
    <row r="66" ht="19.5" customHeight="1">
      <c r="A66" s="8"/>
      <c r="B66" s="70"/>
      <c r="C66" s="71"/>
      <c r="D66" s="109">
        <v>5020.55</v>
      </c>
      <c r="E66" s="72" t="s">
        <v>141</v>
      </c>
      <c r="F66" s="72"/>
      <c r="G66" s="72"/>
      <c r="H66" s="72"/>
      <c r="I66" s="72"/>
      <c r="J66" s="72"/>
      <c r="K66" s="72"/>
      <c r="L66" s="72"/>
      <c r="M66" s="94">
        <f t="shared" ref="M66:M69" si="10">D66</f>
        <v>5020.55</v>
      </c>
      <c r="N66" s="57"/>
    </row>
    <row r="67" ht="19.5" customHeight="1">
      <c r="A67" s="8"/>
      <c r="B67" s="70"/>
      <c r="C67" s="71"/>
      <c r="D67" s="26">
        <v>32582.0</v>
      </c>
      <c r="E67" s="72" t="s">
        <v>86</v>
      </c>
      <c r="F67" s="72"/>
      <c r="G67" s="72"/>
      <c r="H67" s="72"/>
      <c r="I67" s="72"/>
      <c r="J67" s="72"/>
      <c r="K67" s="72"/>
      <c r="L67" s="72"/>
      <c r="M67" s="58">
        <f t="shared" si="10"/>
        <v>32582</v>
      </c>
      <c r="N67" s="57"/>
    </row>
    <row r="68" ht="19.5" customHeight="1">
      <c r="A68" s="8"/>
      <c r="B68" s="70"/>
      <c r="C68" s="71"/>
      <c r="D68" s="72">
        <v>300.0</v>
      </c>
      <c r="E68" s="72" t="s">
        <v>87</v>
      </c>
      <c r="F68" s="72"/>
      <c r="G68" s="72"/>
      <c r="H68" s="72"/>
      <c r="I68" s="72"/>
      <c r="J68" s="72"/>
      <c r="K68" s="72"/>
      <c r="L68" s="72"/>
      <c r="M68" s="57">
        <f t="shared" si="10"/>
        <v>300</v>
      </c>
      <c r="N68" s="57"/>
    </row>
    <row r="69" ht="19.5" customHeight="1">
      <c r="A69" s="8"/>
      <c r="B69" s="70"/>
      <c r="C69" s="71"/>
      <c r="D69" s="109">
        <v>123975.19</v>
      </c>
      <c r="E69" s="72" t="s">
        <v>157</v>
      </c>
      <c r="F69" s="72"/>
      <c r="G69" s="72"/>
      <c r="H69" s="72"/>
      <c r="I69" s="72"/>
      <c r="J69" s="72"/>
      <c r="K69" s="72"/>
      <c r="L69" s="72"/>
      <c r="M69" s="94">
        <f t="shared" si="10"/>
        <v>123975.19</v>
      </c>
      <c r="N69" s="57"/>
    </row>
    <row r="70" ht="19.5" customHeight="1">
      <c r="A70" s="8"/>
      <c r="B70" s="73"/>
      <c r="C70" s="69" t="s">
        <v>14</v>
      </c>
      <c r="D70" s="76">
        <v>317000.0</v>
      </c>
      <c r="E70" s="69" t="s">
        <v>201</v>
      </c>
      <c r="F70" s="69"/>
      <c r="G70" s="69"/>
      <c r="H70" s="69"/>
      <c r="I70" s="69"/>
      <c r="J70" s="69"/>
      <c r="K70" s="58">
        <f>D70</f>
        <v>317000</v>
      </c>
      <c r="L70" s="69"/>
      <c r="N70" s="57"/>
    </row>
    <row r="71" ht="19.5" customHeight="1">
      <c r="A71" s="8"/>
      <c r="B71" s="73"/>
      <c r="C71" s="69"/>
      <c r="D71" s="110">
        <v>1190.13</v>
      </c>
      <c r="E71" s="69" t="s">
        <v>202</v>
      </c>
      <c r="F71" s="69"/>
      <c r="G71" s="69"/>
      <c r="H71" s="69"/>
      <c r="I71" s="69"/>
      <c r="J71" s="69"/>
      <c r="K71" s="69"/>
      <c r="L71" s="69"/>
      <c r="M71" s="94">
        <f>D71</f>
        <v>1190.13</v>
      </c>
      <c r="N71" s="57"/>
    </row>
    <row r="72" ht="19.5" customHeight="1">
      <c r="A72" s="8"/>
      <c r="B72" s="73"/>
      <c r="C72" s="69"/>
      <c r="D72" s="76">
        <v>470000.0</v>
      </c>
      <c r="E72" s="69" t="s">
        <v>190</v>
      </c>
      <c r="F72" s="69"/>
      <c r="G72" s="69"/>
      <c r="H72" s="69"/>
      <c r="I72" s="69"/>
      <c r="J72" s="69"/>
      <c r="K72" s="58">
        <f>D72</f>
        <v>470000</v>
      </c>
      <c r="L72" s="69"/>
      <c r="N72" s="57"/>
    </row>
    <row r="73" ht="19.5" customHeight="1">
      <c r="A73" s="8"/>
      <c r="B73" s="73"/>
      <c r="C73" s="69"/>
      <c r="D73" s="76">
        <v>5020.55</v>
      </c>
      <c r="E73" s="69" t="s">
        <v>141</v>
      </c>
      <c r="F73" s="69"/>
      <c r="G73" s="69"/>
      <c r="H73" s="69"/>
      <c r="I73" s="69"/>
      <c r="J73" s="69"/>
      <c r="K73" s="69"/>
      <c r="L73" s="69"/>
      <c r="M73" s="58">
        <f t="shared" ref="M73:M77" si="11">D73</f>
        <v>5020.55</v>
      </c>
      <c r="N73" s="57"/>
    </row>
    <row r="74" ht="19.5" customHeight="1">
      <c r="A74" s="8"/>
      <c r="B74" s="73"/>
      <c r="C74" s="69"/>
      <c r="D74" s="76">
        <v>16916.0</v>
      </c>
      <c r="E74" s="69" t="s">
        <v>86</v>
      </c>
      <c r="F74" s="69"/>
      <c r="G74" s="69"/>
      <c r="H74" s="69"/>
      <c r="I74" s="69"/>
      <c r="J74" s="69"/>
      <c r="K74" s="69"/>
      <c r="L74" s="69"/>
      <c r="M74" s="58">
        <f t="shared" si="11"/>
        <v>16916</v>
      </c>
      <c r="N74" s="57"/>
    </row>
    <row r="75" ht="19.5" customHeight="1">
      <c r="A75" s="8"/>
      <c r="B75" s="73"/>
      <c r="C75" s="69"/>
      <c r="D75" s="76">
        <v>150.0</v>
      </c>
      <c r="E75" s="69" t="s">
        <v>87</v>
      </c>
      <c r="F75" s="69"/>
      <c r="G75" s="69"/>
      <c r="H75" s="69"/>
      <c r="I75" s="69"/>
      <c r="J75" s="69"/>
      <c r="K75" s="69"/>
      <c r="L75" s="69"/>
      <c r="M75" s="58">
        <f t="shared" si="11"/>
        <v>150</v>
      </c>
      <c r="N75" s="57"/>
    </row>
    <row r="76" ht="19.5" customHeight="1">
      <c r="A76" s="8"/>
      <c r="B76" s="73"/>
      <c r="C76" s="69"/>
      <c r="D76" s="76">
        <v>4144.0</v>
      </c>
      <c r="E76" s="69" t="s">
        <v>157</v>
      </c>
      <c r="F76" s="69"/>
      <c r="G76" s="69"/>
      <c r="H76" s="69"/>
      <c r="I76" s="69"/>
      <c r="J76" s="69"/>
      <c r="K76" s="69"/>
      <c r="L76" s="69"/>
      <c r="M76" s="58">
        <f t="shared" si="11"/>
        <v>4144</v>
      </c>
      <c r="N76" s="57"/>
    </row>
    <row r="77" ht="19.5" customHeight="1">
      <c r="A77" s="8"/>
      <c r="B77" s="74"/>
      <c r="C77" s="75" t="s">
        <v>15</v>
      </c>
      <c r="D77" s="72"/>
      <c r="E77" s="72"/>
      <c r="F77" s="72"/>
      <c r="G77" s="72"/>
      <c r="H77" s="72"/>
      <c r="I77" s="72"/>
      <c r="J77" s="72"/>
      <c r="K77" s="72"/>
      <c r="L77" s="72"/>
      <c r="M77" s="57" t="str">
        <f t="shared" si="11"/>
        <v/>
      </c>
      <c r="N77" s="57"/>
    </row>
    <row r="78" ht="19.5" customHeight="1">
      <c r="A78" s="8"/>
      <c r="B78" s="74"/>
      <c r="C78" s="75"/>
      <c r="D78" s="26">
        <v>194700.0</v>
      </c>
      <c r="E78" s="72" t="s">
        <v>201</v>
      </c>
      <c r="F78" s="72"/>
      <c r="G78" s="72"/>
      <c r="H78" s="72"/>
      <c r="I78" s="72"/>
      <c r="J78" s="72"/>
      <c r="K78" s="58">
        <f>D78</f>
        <v>194700</v>
      </c>
      <c r="L78" s="72"/>
      <c r="N78" s="57"/>
    </row>
    <row r="79" ht="19.5" customHeight="1">
      <c r="A79" s="8"/>
      <c r="B79" s="74"/>
      <c r="C79" s="75"/>
      <c r="D79" s="109">
        <v>1352.13</v>
      </c>
      <c r="E79" s="72" t="s">
        <v>202</v>
      </c>
      <c r="F79" s="72"/>
      <c r="G79" s="72"/>
      <c r="H79" s="72"/>
      <c r="I79" s="72"/>
      <c r="J79" s="72"/>
      <c r="K79" s="72"/>
      <c r="L79" s="72"/>
      <c r="M79" s="94">
        <f t="shared" ref="M79:M82" si="12">D79</f>
        <v>1352.13</v>
      </c>
      <c r="N79" s="57"/>
    </row>
    <row r="80" ht="19.5" customHeight="1">
      <c r="A80" s="8"/>
      <c r="B80" s="74"/>
      <c r="C80" s="75"/>
      <c r="D80" s="109">
        <v>5020.55</v>
      </c>
      <c r="E80" s="72" t="s">
        <v>141</v>
      </c>
      <c r="F80" s="72"/>
      <c r="G80" s="72"/>
      <c r="H80" s="72"/>
      <c r="I80" s="72"/>
      <c r="J80" s="72"/>
      <c r="K80" s="72"/>
      <c r="L80" s="72"/>
      <c r="M80" s="94">
        <f t="shared" si="12"/>
        <v>5020.55</v>
      </c>
      <c r="N80" s="57"/>
    </row>
    <row r="81" ht="19.5" customHeight="1">
      <c r="A81" s="8"/>
      <c r="B81" s="74"/>
      <c r="C81" s="75"/>
      <c r="D81" s="26">
        <v>16916.0</v>
      </c>
      <c r="E81" s="37" t="s">
        <v>86</v>
      </c>
      <c r="F81" s="72"/>
      <c r="G81" s="72"/>
      <c r="H81" s="72"/>
      <c r="I81" s="72"/>
      <c r="J81" s="72"/>
      <c r="K81" s="72"/>
      <c r="L81" s="72"/>
      <c r="M81" s="58">
        <f t="shared" si="12"/>
        <v>16916</v>
      </c>
      <c r="N81" s="57"/>
    </row>
    <row r="82" ht="19.5" customHeight="1">
      <c r="A82" s="8"/>
      <c r="B82" s="74"/>
      <c r="C82" s="75"/>
      <c r="D82" s="72">
        <v>150.0</v>
      </c>
      <c r="E82" s="38" t="s">
        <v>87</v>
      </c>
      <c r="F82" s="72"/>
      <c r="G82" s="72"/>
      <c r="H82" s="72"/>
      <c r="I82" s="72"/>
      <c r="J82" s="72"/>
      <c r="K82" s="72"/>
      <c r="L82" s="72"/>
      <c r="M82" s="57">
        <f t="shared" si="12"/>
        <v>150</v>
      </c>
      <c r="N82" s="57"/>
    </row>
    <row r="83" ht="19.5" customHeight="1">
      <c r="A83" s="8"/>
      <c r="B83" s="74"/>
      <c r="C83" s="75"/>
      <c r="D83" s="26">
        <v>311000.0</v>
      </c>
      <c r="E83" s="12" t="s">
        <v>190</v>
      </c>
      <c r="F83" s="72"/>
      <c r="G83" s="72"/>
      <c r="H83" s="72"/>
      <c r="I83" s="72"/>
      <c r="J83" s="72"/>
      <c r="K83" s="58">
        <f>D83</f>
        <v>311000</v>
      </c>
      <c r="L83" s="72"/>
      <c r="N83" s="57"/>
    </row>
    <row r="84" ht="19.5" customHeight="1">
      <c r="A84" s="8"/>
      <c r="B84" s="74"/>
      <c r="C84" s="75"/>
      <c r="D84" s="26">
        <v>818972.0</v>
      </c>
      <c r="E84" s="12" t="s">
        <v>232</v>
      </c>
      <c r="F84" s="72"/>
      <c r="G84" s="72"/>
      <c r="H84" s="72"/>
      <c r="I84" s="72"/>
      <c r="J84" s="72"/>
      <c r="K84" s="72"/>
      <c r="L84" s="72"/>
      <c r="M84" s="58">
        <f t="shared" ref="M84:M86" si="13">D84</f>
        <v>818972</v>
      </c>
      <c r="N84" s="57"/>
    </row>
    <row r="85" ht="19.5" customHeight="1">
      <c r="A85" s="8"/>
      <c r="B85" s="74"/>
      <c r="C85" s="75"/>
      <c r="D85" s="26">
        <v>1145177.0</v>
      </c>
      <c r="E85" s="12" t="s">
        <v>233</v>
      </c>
      <c r="F85" s="72"/>
      <c r="G85" s="72"/>
      <c r="H85" s="72"/>
      <c r="I85" s="72"/>
      <c r="J85" s="72"/>
      <c r="K85" s="72"/>
      <c r="L85" s="72"/>
      <c r="M85" s="58">
        <f t="shared" si="13"/>
        <v>1145177</v>
      </c>
      <c r="N85" s="57"/>
    </row>
    <row r="86" ht="19.5" customHeight="1">
      <c r="A86" s="8"/>
      <c r="B86" s="74"/>
      <c r="C86" s="75"/>
      <c r="D86" s="26">
        <v>6188.0</v>
      </c>
      <c r="E86" s="12" t="s">
        <v>157</v>
      </c>
      <c r="F86" s="72"/>
      <c r="G86" s="72"/>
      <c r="H86" s="72"/>
      <c r="I86" s="72"/>
      <c r="J86" s="72"/>
      <c r="K86" s="72"/>
      <c r="L86" s="72"/>
      <c r="M86" s="58">
        <f t="shared" si="13"/>
        <v>6188</v>
      </c>
      <c r="N86" s="57"/>
    </row>
    <row r="87" ht="19.5" customHeight="1">
      <c r="A87" s="8"/>
      <c r="B87" s="73"/>
      <c r="C87" s="80" t="s">
        <v>16</v>
      </c>
      <c r="D87" s="76">
        <v>681000.0</v>
      </c>
      <c r="E87" s="69" t="s">
        <v>201</v>
      </c>
      <c r="F87" s="69"/>
      <c r="G87" s="69"/>
      <c r="H87" s="69"/>
      <c r="I87" s="69"/>
      <c r="J87" s="69"/>
      <c r="K87" s="58">
        <f>D87</f>
        <v>681000</v>
      </c>
      <c r="L87" s="69"/>
      <c r="N87" s="57"/>
    </row>
    <row r="88" ht="19.5" customHeight="1">
      <c r="A88" s="8"/>
      <c r="B88" s="73"/>
      <c r="C88" s="80"/>
      <c r="D88" s="110">
        <v>1698.01</v>
      </c>
      <c r="E88" s="69" t="s">
        <v>202</v>
      </c>
      <c r="F88" s="69"/>
      <c r="G88" s="69"/>
      <c r="H88" s="69"/>
      <c r="I88" s="69"/>
      <c r="J88" s="69"/>
      <c r="K88" s="69"/>
      <c r="L88" s="69"/>
      <c r="M88" s="94">
        <f t="shared" ref="M88:M91" si="14">D88</f>
        <v>1698.01</v>
      </c>
      <c r="N88" s="57"/>
    </row>
    <row r="89" ht="19.5" customHeight="1">
      <c r="A89" s="8"/>
      <c r="B89" s="73"/>
      <c r="C89" s="80"/>
      <c r="D89" s="110">
        <v>5020.55</v>
      </c>
      <c r="E89" s="69" t="s">
        <v>141</v>
      </c>
      <c r="F89" s="69"/>
      <c r="G89" s="69"/>
      <c r="H89" s="69"/>
      <c r="I89" s="69"/>
      <c r="J89" s="69"/>
      <c r="K89" s="69"/>
      <c r="L89" s="69"/>
      <c r="M89" s="94">
        <f t="shared" si="14"/>
        <v>5020.55</v>
      </c>
      <c r="N89" s="57"/>
    </row>
    <row r="90" ht="19.5" customHeight="1">
      <c r="A90" s="8"/>
      <c r="B90" s="73"/>
      <c r="C90" s="80"/>
      <c r="D90" s="110">
        <v>16916.0</v>
      </c>
      <c r="E90" s="69" t="s">
        <v>86</v>
      </c>
      <c r="F90" s="69"/>
      <c r="G90" s="69"/>
      <c r="H90" s="69"/>
      <c r="I90" s="69"/>
      <c r="J90" s="69"/>
      <c r="K90" s="69"/>
      <c r="L90" s="69"/>
      <c r="M90" s="94">
        <f t="shared" si="14"/>
        <v>16916</v>
      </c>
      <c r="N90" s="57"/>
    </row>
    <row r="91" ht="19.5" customHeight="1">
      <c r="A91" s="8"/>
      <c r="B91" s="73"/>
      <c r="C91" s="80"/>
      <c r="D91" s="110">
        <v>150.0</v>
      </c>
      <c r="E91" s="69" t="s">
        <v>87</v>
      </c>
      <c r="F91" s="69"/>
      <c r="G91" s="69"/>
      <c r="H91" s="69"/>
      <c r="I91" s="69"/>
      <c r="J91" s="69"/>
      <c r="K91" s="69"/>
      <c r="L91" s="69"/>
      <c r="M91" s="94">
        <f t="shared" si="14"/>
        <v>150</v>
      </c>
      <c r="N91" s="57"/>
    </row>
    <row r="92" ht="19.5" customHeight="1">
      <c r="A92" s="8"/>
      <c r="B92" s="73"/>
      <c r="C92" s="80"/>
      <c r="D92" s="76">
        <v>272500.0</v>
      </c>
      <c r="E92" s="69" t="s">
        <v>190</v>
      </c>
      <c r="F92" s="69"/>
      <c r="G92" s="69"/>
      <c r="H92" s="69"/>
      <c r="I92" s="69"/>
      <c r="J92" s="69"/>
      <c r="K92" s="58">
        <f t="shared" ref="K92:K93" si="15">D92</f>
        <v>272500</v>
      </c>
      <c r="L92" s="69"/>
      <c r="N92" s="57"/>
    </row>
    <row r="93" ht="19.5" customHeight="1">
      <c r="A93" s="8"/>
      <c r="B93" s="74"/>
      <c r="C93" s="75" t="s">
        <v>17</v>
      </c>
      <c r="D93" s="26">
        <v>80000.0</v>
      </c>
      <c r="E93" s="72" t="s">
        <v>201</v>
      </c>
      <c r="F93" s="75"/>
      <c r="G93" s="75"/>
      <c r="H93" s="75"/>
      <c r="I93" s="75"/>
      <c r="J93" s="75"/>
      <c r="K93" s="58">
        <f t="shared" si="15"/>
        <v>80000</v>
      </c>
      <c r="L93" s="75"/>
      <c r="N93" s="57"/>
    </row>
    <row r="94" ht="19.5" customHeight="1">
      <c r="A94" s="8"/>
      <c r="B94" s="74"/>
      <c r="C94" s="75"/>
      <c r="D94" s="72">
        <v>387.85</v>
      </c>
      <c r="E94" s="72" t="s">
        <v>202</v>
      </c>
      <c r="F94" s="75"/>
      <c r="G94" s="75"/>
      <c r="H94" s="75"/>
      <c r="I94" s="75"/>
      <c r="J94" s="75"/>
      <c r="K94" s="75"/>
      <c r="L94" s="75"/>
      <c r="M94" s="57">
        <f t="shared" ref="M94:M96" si="16">D94</f>
        <v>387.85</v>
      </c>
      <c r="N94" s="57"/>
    </row>
    <row r="95" ht="19.5" customHeight="1">
      <c r="A95" s="8"/>
      <c r="B95" s="74"/>
      <c r="C95" s="75"/>
      <c r="D95" s="109">
        <v>5020.55</v>
      </c>
      <c r="E95" s="72" t="s">
        <v>141</v>
      </c>
      <c r="F95" s="75"/>
      <c r="G95" s="75"/>
      <c r="H95" s="75"/>
      <c r="I95" s="75"/>
      <c r="J95" s="75"/>
      <c r="K95" s="75"/>
      <c r="L95" s="75"/>
      <c r="M95" s="94">
        <f t="shared" si="16"/>
        <v>5020.55</v>
      </c>
      <c r="N95" s="57"/>
    </row>
    <row r="96" ht="19.5" customHeight="1">
      <c r="A96" s="8"/>
      <c r="B96" s="74"/>
      <c r="C96" s="75"/>
      <c r="D96" s="72">
        <v>837.0</v>
      </c>
      <c r="E96" s="72" t="s">
        <v>157</v>
      </c>
      <c r="F96" s="75"/>
      <c r="G96" s="75"/>
      <c r="H96" s="75"/>
      <c r="I96" s="75"/>
      <c r="J96" s="75"/>
      <c r="K96" s="75"/>
      <c r="L96" s="75"/>
      <c r="M96" s="57">
        <f t="shared" si="16"/>
        <v>837</v>
      </c>
      <c r="N96" s="57"/>
    </row>
    <row r="97" ht="19.5" customHeight="1">
      <c r="A97" s="8"/>
      <c r="B97" s="73"/>
      <c r="C97" s="80" t="s">
        <v>18</v>
      </c>
      <c r="D97" s="76">
        <v>200000.0</v>
      </c>
      <c r="E97" s="69" t="s">
        <v>234</v>
      </c>
      <c r="F97" s="80"/>
      <c r="G97" s="80"/>
      <c r="H97" s="80"/>
      <c r="I97" s="80"/>
      <c r="J97" s="80"/>
      <c r="K97" s="80"/>
      <c r="L97" s="58">
        <f>D97</f>
        <v>200000</v>
      </c>
      <c r="N97" s="57"/>
    </row>
    <row r="98" ht="19.5" customHeight="1">
      <c r="A98" s="8"/>
      <c r="B98" s="74"/>
      <c r="C98" s="75" t="s">
        <v>19</v>
      </c>
      <c r="D98" s="26">
        <v>9000.0</v>
      </c>
      <c r="E98" s="72" t="s">
        <v>190</v>
      </c>
      <c r="F98" s="75"/>
      <c r="G98" s="75"/>
      <c r="H98" s="75"/>
      <c r="I98" s="75"/>
      <c r="J98" s="75"/>
      <c r="K98" s="58">
        <f>D98</f>
        <v>9000</v>
      </c>
      <c r="L98" s="75"/>
      <c r="N98" s="57"/>
    </row>
    <row r="99" ht="19.5" customHeight="1">
      <c r="A99" s="8"/>
      <c r="B99" s="73"/>
      <c r="C99" s="80" t="s">
        <v>20</v>
      </c>
      <c r="D99" s="69">
        <v>0.0</v>
      </c>
      <c r="E99" s="80"/>
      <c r="F99" s="80"/>
      <c r="G99" s="80"/>
      <c r="H99" s="80"/>
      <c r="I99" s="80"/>
      <c r="J99" s="80"/>
      <c r="K99" s="80"/>
      <c r="L99" s="80"/>
      <c r="M99" s="57">
        <f t="shared" ref="M99:M105" si="17">D99</f>
        <v>0</v>
      </c>
      <c r="N99" s="57"/>
    </row>
    <row r="100" ht="19.5" customHeight="1">
      <c r="A100" s="8"/>
      <c r="B100" s="74"/>
      <c r="C100" s="75" t="s">
        <v>21</v>
      </c>
      <c r="D100" s="72">
        <v>0.0</v>
      </c>
      <c r="E100" s="75"/>
      <c r="F100" s="75"/>
      <c r="G100" s="75"/>
      <c r="H100" s="75"/>
      <c r="I100" s="75"/>
      <c r="J100" s="75"/>
      <c r="K100" s="75"/>
      <c r="L100" s="75"/>
      <c r="M100" s="57">
        <f t="shared" si="17"/>
        <v>0</v>
      </c>
      <c r="N100" s="57"/>
    </row>
    <row r="101" ht="19.5" customHeight="1">
      <c r="A101" s="8"/>
      <c r="B101" s="73"/>
      <c r="C101" s="80" t="s">
        <v>22</v>
      </c>
      <c r="D101" s="69">
        <v>0.0</v>
      </c>
      <c r="E101" s="80"/>
      <c r="F101" s="80"/>
      <c r="G101" s="80"/>
      <c r="H101" s="80"/>
      <c r="I101" s="80"/>
      <c r="J101" s="80"/>
      <c r="K101" s="80"/>
      <c r="L101" s="80"/>
      <c r="M101" s="57">
        <f t="shared" si="17"/>
        <v>0</v>
      </c>
      <c r="N101" s="57"/>
    </row>
    <row r="102" ht="19.5" customHeight="1">
      <c r="A102" s="8"/>
      <c r="B102" s="74"/>
      <c r="C102" s="75" t="s">
        <v>23</v>
      </c>
      <c r="D102" s="72">
        <v>0.0</v>
      </c>
      <c r="E102" s="75"/>
      <c r="F102" s="75"/>
      <c r="G102" s="75"/>
      <c r="H102" s="75"/>
      <c r="I102" s="75"/>
      <c r="J102" s="75"/>
      <c r="K102" s="75"/>
      <c r="L102" s="75"/>
      <c r="M102" s="57">
        <f t="shared" si="17"/>
        <v>0</v>
      </c>
      <c r="N102" s="57"/>
    </row>
    <row r="103" ht="19.5" customHeight="1">
      <c r="A103" s="81"/>
      <c r="B103" s="77" t="s">
        <v>8</v>
      </c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57" t="str">
        <f t="shared" si="17"/>
        <v/>
      </c>
      <c r="N103" s="82"/>
    </row>
    <row r="104" ht="19.5" customHeight="1">
      <c r="A104" s="81"/>
      <c r="B104" s="83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57" t="str">
        <f t="shared" si="17"/>
        <v/>
      </c>
      <c r="N104" s="57"/>
    </row>
    <row r="105" ht="19.5" customHeight="1">
      <c r="A105" s="81"/>
      <c r="B105" s="83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57" t="str">
        <f t="shared" si="17"/>
        <v/>
      </c>
      <c r="N105" s="57"/>
    </row>
    <row r="106" ht="19.5" customHeight="1">
      <c r="A106" s="8"/>
      <c r="B106" s="84" t="s">
        <v>235</v>
      </c>
      <c r="C106" s="80" t="s">
        <v>12</v>
      </c>
      <c r="D106" s="76">
        <v>50000.0</v>
      </c>
      <c r="E106" s="69" t="s">
        <v>201</v>
      </c>
      <c r="F106" s="69"/>
      <c r="G106" s="69"/>
      <c r="H106" s="69"/>
      <c r="I106" s="69"/>
      <c r="J106" s="69"/>
      <c r="K106" s="58">
        <f>D106</f>
        <v>50000</v>
      </c>
      <c r="L106" s="69"/>
      <c r="N106" s="57"/>
    </row>
    <row r="107" ht="19.5" customHeight="1">
      <c r="A107" s="8"/>
      <c r="B107" s="84"/>
      <c r="C107" s="80"/>
      <c r="D107" s="69">
        <v>665.2</v>
      </c>
      <c r="E107" s="69" t="s">
        <v>202</v>
      </c>
      <c r="F107" s="69"/>
      <c r="G107" s="69"/>
      <c r="H107" s="69"/>
      <c r="I107" s="69"/>
      <c r="J107" s="69"/>
      <c r="K107" s="69"/>
      <c r="L107" s="69"/>
      <c r="M107" s="57">
        <f>D107</f>
        <v>665.2</v>
      </c>
      <c r="N107" s="57"/>
    </row>
    <row r="108" ht="19.5" customHeight="1">
      <c r="A108" s="8"/>
      <c r="B108" s="84"/>
      <c r="C108" s="80"/>
      <c r="D108" s="76">
        <v>309000.0</v>
      </c>
      <c r="E108" s="69" t="s">
        <v>190</v>
      </c>
      <c r="F108" s="69"/>
      <c r="G108" s="69"/>
      <c r="H108" s="69"/>
      <c r="I108" s="69"/>
      <c r="J108" s="69"/>
      <c r="K108" s="58">
        <f t="shared" ref="K108:K109" si="18">D108</f>
        <v>309000</v>
      </c>
      <c r="L108" s="69"/>
      <c r="N108" s="57"/>
    </row>
    <row r="109" ht="19.5" customHeight="1">
      <c r="A109" s="8"/>
      <c r="B109" s="74"/>
      <c r="C109" s="75" t="s">
        <v>13</v>
      </c>
      <c r="D109" s="26">
        <v>143500.0</v>
      </c>
      <c r="E109" s="72" t="s">
        <v>201</v>
      </c>
      <c r="F109" s="72"/>
      <c r="G109" s="72"/>
      <c r="H109" s="72"/>
      <c r="I109" s="72"/>
      <c r="J109" s="72"/>
      <c r="K109" s="58">
        <f t="shared" si="18"/>
        <v>143500</v>
      </c>
      <c r="L109" s="72"/>
      <c r="N109" s="57"/>
    </row>
    <row r="110" ht="19.5" customHeight="1">
      <c r="A110" s="8"/>
      <c r="B110" s="74"/>
      <c r="C110" s="75"/>
      <c r="D110" s="72">
        <v>628.0</v>
      </c>
      <c r="E110" s="72" t="s">
        <v>202</v>
      </c>
      <c r="F110" s="72"/>
      <c r="G110" s="72"/>
      <c r="H110" s="72"/>
      <c r="I110" s="72"/>
      <c r="J110" s="72"/>
      <c r="K110" s="72"/>
      <c r="L110" s="72"/>
      <c r="M110" s="57">
        <f t="shared" ref="M110:M111" si="19">D110</f>
        <v>628</v>
      </c>
      <c r="N110" s="57"/>
    </row>
    <row r="111" ht="19.5" customHeight="1">
      <c r="A111" s="8"/>
      <c r="B111" s="74"/>
      <c r="C111" s="75"/>
      <c r="D111" s="72">
        <v>10000.0</v>
      </c>
      <c r="E111" s="72" t="s">
        <v>157</v>
      </c>
      <c r="F111" s="72"/>
      <c r="G111" s="72"/>
      <c r="H111" s="72"/>
      <c r="I111" s="72"/>
      <c r="J111" s="72"/>
      <c r="K111" s="72"/>
      <c r="L111" s="72"/>
      <c r="M111" s="57">
        <f t="shared" si="19"/>
        <v>10000</v>
      </c>
      <c r="N111" s="57"/>
    </row>
    <row r="112" ht="19.5" customHeight="1">
      <c r="A112" s="27"/>
      <c r="B112" s="74"/>
      <c r="C112" s="75"/>
      <c r="D112" s="26">
        <v>85000.0</v>
      </c>
      <c r="E112" s="72" t="s">
        <v>190</v>
      </c>
      <c r="F112" s="72"/>
      <c r="G112" s="72"/>
      <c r="H112" s="72"/>
      <c r="I112" s="72"/>
      <c r="J112" s="72"/>
      <c r="K112" s="58">
        <f t="shared" ref="K112:K113" si="20">D112</f>
        <v>85000</v>
      </c>
      <c r="L112" s="72"/>
      <c r="N112" s="57"/>
    </row>
    <row r="113" ht="19.5" customHeight="1">
      <c r="A113" s="8"/>
      <c r="B113" s="73"/>
      <c r="C113" s="69" t="s">
        <v>14</v>
      </c>
      <c r="D113" s="76">
        <v>135000.0</v>
      </c>
      <c r="E113" s="69" t="s">
        <v>201</v>
      </c>
      <c r="F113" s="69"/>
      <c r="G113" s="69"/>
      <c r="H113" s="69"/>
      <c r="I113" s="69"/>
      <c r="J113" s="69"/>
      <c r="K113" s="58">
        <f t="shared" si="20"/>
        <v>135000</v>
      </c>
      <c r="L113" s="69"/>
      <c r="N113" s="57"/>
    </row>
    <row r="114" ht="19.5" customHeight="1">
      <c r="A114" s="8"/>
      <c r="B114" s="73"/>
      <c r="C114" s="69"/>
      <c r="D114" s="69">
        <v>620.4</v>
      </c>
      <c r="E114" s="69" t="s">
        <v>202</v>
      </c>
      <c r="F114" s="69"/>
      <c r="G114" s="69"/>
      <c r="H114" s="69"/>
      <c r="I114" s="69"/>
      <c r="J114" s="69"/>
      <c r="K114" s="69"/>
      <c r="L114" s="69"/>
      <c r="M114" s="57">
        <f>D114</f>
        <v>620.4</v>
      </c>
      <c r="N114" s="57"/>
    </row>
    <row r="115" ht="19.5" customHeight="1">
      <c r="A115" s="8"/>
      <c r="B115" s="73"/>
      <c r="C115" s="69"/>
      <c r="D115" s="76">
        <v>117000.0</v>
      </c>
      <c r="E115" s="69" t="s">
        <v>190</v>
      </c>
      <c r="F115" s="69"/>
      <c r="G115" s="69"/>
      <c r="H115" s="69"/>
      <c r="I115" s="69"/>
      <c r="J115" s="69"/>
      <c r="K115" s="58">
        <f>D115</f>
        <v>117000</v>
      </c>
      <c r="L115" s="69"/>
      <c r="N115" s="57"/>
    </row>
    <row r="116" ht="19.5" customHeight="1">
      <c r="A116" s="8"/>
      <c r="B116" s="73"/>
      <c r="C116" s="69"/>
      <c r="D116" s="76">
        <v>18495.62</v>
      </c>
      <c r="E116" s="69" t="s">
        <v>157</v>
      </c>
      <c r="F116" s="69"/>
      <c r="G116" s="69"/>
      <c r="H116" s="69"/>
      <c r="I116" s="69"/>
      <c r="J116" s="69"/>
      <c r="K116" s="69"/>
      <c r="L116" s="69"/>
      <c r="M116" s="58">
        <f>D116</f>
        <v>18495.62</v>
      </c>
      <c r="N116" s="57"/>
    </row>
    <row r="117" ht="19.5" customHeight="1">
      <c r="A117" s="8"/>
      <c r="B117" s="74"/>
      <c r="C117" s="75" t="s">
        <v>15</v>
      </c>
      <c r="D117" s="26">
        <v>104000.0</v>
      </c>
      <c r="E117" s="72" t="s">
        <v>201</v>
      </c>
      <c r="F117" s="72"/>
      <c r="G117" s="72"/>
      <c r="H117" s="72"/>
      <c r="I117" s="72"/>
      <c r="J117" s="72"/>
      <c r="K117" s="58">
        <f>D117</f>
        <v>104000</v>
      </c>
      <c r="L117" s="72"/>
      <c r="N117" s="57"/>
    </row>
    <row r="118" ht="19.5" customHeight="1">
      <c r="A118" s="8"/>
      <c r="B118" s="74"/>
      <c r="C118" s="75"/>
      <c r="D118" s="72">
        <v>680.4</v>
      </c>
      <c r="E118" s="72" t="s">
        <v>202</v>
      </c>
      <c r="F118" s="72"/>
      <c r="G118" s="72"/>
      <c r="H118" s="72"/>
      <c r="I118" s="72"/>
      <c r="J118" s="72"/>
      <c r="K118" s="72"/>
      <c r="L118" s="72"/>
      <c r="M118" s="57">
        <f>D118</f>
        <v>680.4</v>
      </c>
      <c r="N118" s="57"/>
    </row>
    <row r="119" ht="19.5" customHeight="1">
      <c r="A119" s="8"/>
      <c r="B119" s="74"/>
      <c r="C119" s="75"/>
      <c r="D119" s="26">
        <v>40000.0</v>
      </c>
      <c r="E119" s="72" t="s">
        <v>205</v>
      </c>
      <c r="F119" s="72"/>
      <c r="G119" s="72"/>
      <c r="H119" s="72"/>
      <c r="I119" s="72"/>
      <c r="J119" s="72"/>
      <c r="K119" s="58">
        <f>D119</f>
        <v>40000</v>
      </c>
      <c r="L119" s="72"/>
      <c r="N119" s="57"/>
    </row>
    <row r="120" ht="19.5" customHeight="1">
      <c r="A120" s="8"/>
      <c r="B120" s="74"/>
      <c r="C120" s="75"/>
      <c r="D120" s="26">
        <v>14513.0</v>
      </c>
      <c r="E120" s="72" t="s">
        <v>157</v>
      </c>
      <c r="F120" s="72"/>
      <c r="G120" s="72"/>
      <c r="H120" s="72"/>
      <c r="I120" s="72"/>
      <c r="J120" s="72"/>
      <c r="K120" s="72"/>
      <c r="L120" s="72"/>
      <c r="M120" s="58">
        <f>D120</f>
        <v>14513</v>
      </c>
      <c r="N120" s="57"/>
    </row>
    <row r="121" ht="19.5" customHeight="1">
      <c r="A121" s="8"/>
      <c r="B121" s="73"/>
      <c r="C121" s="80" t="s">
        <v>16</v>
      </c>
      <c r="D121" s="76">
        <v>193000.0</v>
      </c>
      <c r="E121" s="69" t="s">
        <v>201</v>
      </c>
      <c r="F121" s="69"/>
      <c r="G121" s="69"/>
      <c r="H121" s="69"/>
      <c r="I121" s="69"/>
      <c r="J121" s="69"/>
      <c r="K121" s="58">
        <f>D121</f>
        <v>193000</v>
      </c>
      <c r="L121" s="69"/>
      <c r="N121" s="57"/>
    </row>
    <row r="122" ht="19.5" customHeight="1">
      <c r="A122" s="8"/>
      <c r="B122" s="73"/>
      <c r="C122" s="80"/>
      <c r="D122" s="69">
        <v>734.8</v>
      </c>
      <c r="E122" s="69" t="s">
        <v>202</v>
      </c>
      <c r="F122" s="69"/>
      <c r="G122" s="69"/>
      <c r="H122" s="69"/>
      <c r="I122" s="69"/>
      <c r="J122" s="69"/>
      <c r="K122" s="69"/>
      <c r="L122" s="69"/>
      <c r="M122" s="57">
        <f>D122</f>
        <v>734.8</v>
      </c>
      <c r="N122" s="57"/>
    </row>
    <row r="123" ht="19.5" customHeight="1">
      <c r="A123" s="8"/>
      <c r="B123" s="73"/>
      <c r="C123" s="80"/>
      <c r="D123" s="76">
        <v>83000.0</v>
      </c>
      <c r="E123" s="69" t="s">
        <v>190</v>
      </c>
      <c r="F123" s="69"/>
      <c r="G123" s="69"/>
      <c r="H123" s="69"/>
      <c r="I123" s="69"/>
      <c r="J123" s="69"/>
      <c r="K123" s="58">
        <f>D123</f>
        <v>83000</v>
      </c>
      <c r="L123" s="69"/>
      <c r="N123" s="57"/>
    </row>
    <row r="124" ht="19.5" customHeight="1">
      <c r="A124" s="8"/>
      <c r="B124" s="73"/>
      <c r="C124" s="80"/>
      <c r="D124" s="76">
        <v>8796.0</v>
      </c>
      <c r="E124" s="69" t="s">
        <v>157</v>
      </c>
      <c r="F124" s="69"/>
      <c r="G124" s="69"/>
      <c r="H124" s="69"/>
      <c r="I124" s="69"/>
      <c r="J124" s="69"/>
      <c r="K124" s="69"/>
      <c r="L124" s="69"/>
      <c r="M124" s="58">
        <f>D124</f>
        <v>8796</v>
      </c>
      <c r="N124" s="57"/>
    </row>
    <row r="125" ht="19.5" customHeight="1">
      <c r="A125" s="8"/>
      <c r="B125" s="74"/>
      <c r="C125" s="75" t="s">
        <v>17</v>
      </c>
      <c r="D125" s="26">
        <v>55000.0</v>
      </c>
      <c r="E125" s="72" t="s">
        <v>201</v>
      </c>
      <c r="F125" s="75"/>
      <c r="G125" s="75"/>
      <c r="H125" s="75"/>
      <c r="I125" s="75"/>
      <c r="J125" s="75"/>
      <c r="K125" s="58">
        <f>D125</f>
        <v>55000</v>
      </c>
      <c r="L125" s="75"/>
      <c r="N125" s="57"/>
    </row>
    <row r="126" ht="19.5" customHeight="1">
      <c r="A126" s="8"/>
      <c r="B126" s="74"/>
      <c r="C126" s="75"/>
      <c r="D126" s="72">
        <v>232.4</v>
      </c>
      <c r="E126" s="72" t="s">
        <v>202</v>
      </c>
      <c r="F126" s="75"/>
      <c r="G126" s="75"/>
      <c r="H126" s="75"/>
      <c r="I126" s="75"/>
      <c r="J126" s="75"/>
      <c r="K126" s="75"/>
      <c r="L126" s="75"/>
      <c r="M126" s="57">
        <f>D126</f>
        <v>232.4</v>
      </c>
      <c r="N126" s="57"/>
    </row>
    <row r="127" ht="19.5" customHeight="1">
      <c r="A127" s="8"/>
      <c r="B127" s="74"/>
      <c r="C127" s="75"/>
      <c r="D127" s="26">
        <v>9000.0</v>
      </c>
      <c r="E127" s="72" t="s">
        <v>190</v>
      </c>
      <c r="F127" s="75"/>
      <c r="G127" s="75"/>
      <c r="H127" s="75"/>
      <c r="I127" s="75"/>
      <c r="J127" s="75"/>
      <c r="K127" s="58">
        <f t="shared" ref="K127:K128" si="21">D127</f>
        <v>9000</v>
      </c>
      <c r="L127" s="75"/>
      <c r="N127" s="57"/>
    </row>
    <row r="128" ht="19.5" customHeight="1">
      <c r="A128" s="8"/>
      <c r="B128" s="73"/>
      <c r="C128" s="80" t="s">
        <v>18</v>
      </c>
      <c r="D128" s="76">
        <v>159000.0</v>
      </c>
      <c r="E128" s="69" t="s">
        <v>201</v>
      </c>
      <c r="F128" s="80"/>
      <c r="G128" s="80"/>
      <c r="H128" s="80"/>
      <c r="I128" s="80"/>
      <c r="J128" s="80"/>
      <c r="K128" s="58">
        <f t="shared" si="21"/>
        <v>159000</v>
      </c>
      <c r="L128" s="80"/>
      <c r="N128" s="57"/>
    </row>
    <row r="129" ht="19.5" customHeight="1">
      <c r="A129" s="8"/>
      <c r="B129" s="73"/>
      <c r="C129" s="80"/>
      <c r="D129" s="69">
        <v>733.2</v>
      </c>
      <c r="E129" s="69" t="s">
        <v>202</v>
      </c>
      <c r="F129" s="80"/>
      <c r="G129" s="80"/>
      <c r="H129" s="80"/>
      <c r="I129" s="80"/>
      <c r="J129" s="80"/>
      <c r="K129" s="80"/>
      <c r="L129" s="80"/>
      <c r="M129" s="57">
        <f>D129</f>
        <v>733.2</v>
      </c>
      <c r="N129" s="57"/>
    </row>
    <row r="130" ht="19.5" customHeight="1">
      <c r="A130" s="8"/>
      <c r="B130" s="73"/>
      <c r="C130" s="80"/>
      <c r="D130" s="76">
        <v>96000.0</v>
      </c>
      <c r="E130" s="69" t="s">
        <v>190</v>
      </c>
      <c r="F130" s="80"/>
      <c r="G130" s="80"/>
      <c r="H130" s="80"/>
      <c r="I130" s="80"/>
      <c r="J130" s="80"/>
      <c r="K130" s="58">
        <f>D130</f>
        <v>96000</v>
      </c>
      <c r="L130" s="80"/>
      <c r="N130" s="57"/>
    </row>
    <row r="131" ht="19.5" customHeight="1">
      <c r="A131" s="8"/>
      <c r="B131" s="73"/>
      <c r="C131" s="80"/>
      <c r="D131" s="76">
        <v>25150.0</v>
      </c>
      <c r="E131" s="69" t="s">
        <v>157</v>
      </c>
      <c r="F131" s="80"/>
      <c r="G131" s="80"/>
      <c r="H131" s="80"/>
      <c r="I131" s="80"/>
      <c r="J131" s="80"/>
      <c r="K131" s="80"/>
      <c r="L131" s="80"/>
      <c r="M131" s="58">
        <f>D131</f>
        <v>25150</v>
      </c>
      <c r="N131" s="57"/>
    </row>
    <row r="132" ht="19.5" customHeight="1">
      <c r="A132" s="8"/>
      <c r="B132" s="74"/>
      <c r="C132" s="75" t="s">
        <v>19</v>
      </c>
      <c r="D132" s="26">
        <v>277000.0</v>
      </c>
      <c r="E132" s="72" t="s">
        <v>201</v>
      </c>
      <c r="F132" s="75"/>
      <c r="G132" s="75"/>
      <c r="H132" s="75"/>
      <c r="I132" s="75"/>
      <c r="J132" s="75"/>
      <c r="K132" s="58">
        <f>D132</f>
        <v>277000</v>
      </c>
      <c r="L132" s="75"/>
      <c r="N132" s="57"/>
    </row>
    <row r="133" ht="19.5" customHeight="1">
      <c r="A133" s="8"/>
      <c r="B133" s="74"/>
      <c r="C133" s="75"/>
      <c r="D133" s="109">
        <v>1134.5</v>
      </c>
      <c r="E133" s="72" t="s">
        <v>202</v>
      </c>
      <c r="F133" s="75"/>
      <c r="G133" s="75"/>
      <c r="H133" s="75"/>
      <c r="I133" s="75"/>
      <c r="J133" s="75"/>
      <c r="K133" s="75"/>
      <c r="L133" s="75"/>
      <c r="M133" s="94">
        <f>D133</f>
        <v>1134.5</v>
      </c>
      <c r="N133" s="57"/>
    </row>
    <row r="134" ht="19.5" customHeight="1">
      <c r="A134" s="8"/>
      <c r="B134" s="74"/>
      <c r="C134" s="75"/>
      <c r="D134" s="26">
        <v>154000.0</v>
      </c>
      <c r="E134" s="72" t="s">
        <v>190</v>
      </c>
      <c r="F134" s="75"/>
      <c r="G134" s="75"/>
      <c r="H134" s="75"/>
      <c r="I134" s="75"/>
      <c r="J134" s="75"/>
      <c r="K134" s="58">
        <f>D134</f>
        <v>154000</v>
      </c>
      <c r="L134" s="75"/>
      <c r="N134" s="57"/>
    </row>
    <row r="135" ht="19.5" customHeight="1">
      <c r="A135" s="8"/>
      <c r="B135" s="74"/>
      <c r="C135" s="75"/>
      <c r="D135" s="26">
        <v>21150.0</v>
      </c>
      <c r="E135" s="72" t="s">
        <v>157</v>
      </c>
      <c r="F135" s="75"/>
      <c r="G135" s="75"/>
      <c r="H135" s="75"/>
      <c r="I135" s="75"/>
      <c r="J135" s="75"/>
      <c r="K135" s="75"/>
      <c r="L135" s="75"/>
      <c r="M135" s="58">
        <f t="shared" ref="M135:M136" si="22">D135</f>
        <v>21150</v>
      </c>
      <c r="N135" s="57"/>
    </row>
    <row r="136" ht="19.5" customHeight="1">
      <c r="A136" s="8"/>
      <c r="B136" s="73"/>
      <c r="C136" s="80" t="s">
        <v>20</v>
      </c>
      <c r="D136" s="69">
        <v>0.0</v>
      </c>
      <c r="E136" s="80"/>
      <c r="F136" s="80"/>
      <c r="G136" s="80"/>
      <c r="H136" s="80"/>
      <c r="I136" s="80"/>
      <c r="J136" s="80"/>
      <c r="K136" s="80"/>
      <c r="L136" s="80"/>
      <c r="M136" s="57">
        <f t="shared" si="22"/>
        <v>0</v>
      </c>
      <c r="N136" s="57"/>
    </row>
    <row r="137" ht="19.5" customHeight="1">
      <c r="A137" s="8"/>
      <c r="B137" s="74"/>
      <c r="C137" s="75" t="s">
        <v>21</v>
      </c>
      <c r="D137" s="26">
        <v>145000.0</v>
      </c>
      <c r="E137" s="72" t="s">
        <v>201</v>
      </c>
      <c r="F137" s="75"/>
      <c r="G137" s="75"/>
      <c r="H137" s="75"/>
      <c r="I137" s="75"/>
      <c r="J137" s="75"/>
      <c r="K137" s="58">
        <f>D137</f>
        <v>145000</v>
      </c>
      <c r="L137" s="75"/>
      <c r="N137" s="57"/>
    </row>
    <row r="138" ht="19.5" customHeight="1">
      <c r="A138" s="8"/>
      <c r="B138" s="74"/>
      <c r="C138" s="75"/>
      <c r="D138" s="72">
        <v>621.5</v>
      </c>
      <c r="E138" s="72" t="s">
        <v>202</v>
      </c>
      <c r="F138" s="75"/>
      <c r="G138" s="75"/>
      <c r="H138" s="75"/>
      <c r="I138" s="75"/>
      <c r="J138" s="75"/>
      <c r="K138" s="75"/>
      <c r="L138" s="75"/>
      <c r="M138" s="57">
        <f>D138</f>
        <v>621.5</v>
      </c>
      <c r="N138" s="57"/>
    </row>
    <row r="139" ht="19.5" customHeight="1">
      <c r="A139" s="8"/>
      <c r="B139" s="74"/>
      <c r="C139" s="75"/>
      <c r="D139" s="26">
        <v>153000.0</v>
      </c>
      <c r="E139" s="72" t="s">
        <v>236</v>
      </c>
      <c r="F139" s="75"/>
      <c r="G139" s="75"/>
      <c r="H139" s="75"/>
      <c r="I139" s="75"/>
      <c r="J139" s="75"/>
      <c r="K139" s="58">
        <f t="shared" ref="K139:K140" si="23">D139</f>
        <v>153000</v>
      </c>
      <c r="L139" s="75"/>
      <c r="N139" s="57"/>
    </row>
    <row r="140" ht="19.5" customHeight="1">
      <c r="A140" s="8"/>
      <c r="B140" s="73"/>
      <c r="C140" s="80" t="s">
        <v>22</v>
      </c>
      <c r="D140" s="76">
        <v>96500.0</v>
      </c>
      <c r="E140" s="69" t="s">
        <v>201</v>
      </c>
      <c r="F140" s="80"/>
      <c r="G140" s="80"/>
      <c r="H140" s="80"/>
      <c r="I140" s="80"/>
      <c r="J140" s="80"/>
      <c r="K140" s="58">
        <f t="shared" si="23"/>
        <v>96500</v>
      </c>
      <c r="L140" s="80"/>
      <c r="N140" s="57"/>
    </row>
    <row r="141" ht="19.5" customHeight="1">
      <c r="A141" s="8"/>
      <c r="B141" s="73"/>
      <c r="C141" s="80"/>
      <c r="D141" s="69">
        <v>464.2</v>
      </c>
      <c r="E141" s="69" t="s">
        <v>202</v>
      </c>
      <c r="F141" s="80"/>
      <c r="G141" s="80"/>
      <c r="H141" s="80"/>
      <c r="I141" s="80"/>
      <c r="J141" s="80"/>
      <c r="K141" s="80"/>
      <c r="L141" s="80"/>
      <c r="M141" s="57">
        <f>D141</f>
        <v>464.2</v>
      </c>
      <c r="N141" s="57"/>
    </row>
    <row r="142" ht="19.5" customHeight="1">
      <c r="A142" s="8"/>
      <c r="B142" s="73"/>
      <c r="C142" s="80"/>
      <c r="D142" s="76">
        <v>91000.0</v>
      </c>
      <c r="E142" s="69" t="s">
        <v>190</v>
      </c>
      <c r="F142" s="80"/>
      <c r="G142" s="80"/>
      <c r="H142" s="80"/>
      <c r="I142" s="80"/>
      <c r="J142" s="80"/>
      <c r="K142" s="58">
        <f t="shared" ref="K142:K143" si="24">D142</f>
        <v>91000</v>
      </c>
      <c r="L142" s="80"/>
      <c r="N142" s="57"/>
    </row>
    <row r="143" ht="19.5" customHeight="1">
      <c r="A143" s="8"/>
      <c r="B143" s="74"/>
      <c r="C143" s="75" t="s">
        <v>23</v>
      </c>
      <c r="D143" s="26">
        <v>73000.0</v>
      </c>
      <c r="E143" s="72" t="s">
        <v>201</v>
      </c>
      <c r="F143" s="75"/>
      <c r="G143" s="75"/>
      <c r="H143" s="75"/>
      <c r="I143" s="75"/>
      <c r="J143" s="75"/>
      <c r="K143" s="58">
        <f t="shared" si="24"/>
        <v>73000</v>
      </c>
      <c r="L143" s="75"/>
      <c r="N143" s="57"/>
    </row>
    <row r="144" ht="19.5" customHeight="1">
      <c r="A144" s="8"/>
      <c r="B144" s="74"/>
      <c r="C144" s="75"/>
      <c r="D144" s="72">
        <v>379.9</v>
      </c>
      <c r="E144" s="72" t="s">
        <v>202</v>
      </c>
      <c r="F144" s="75"/>
      <c r="G144" s="75"/>
      <c r="H144" s="75"/>
      <c r="I144" s="75"/>
      <c r="J144" s="75"/>
      <c r="K144" s="75"/>
      <c r="L144" s="75"/>
      <c r="M144" s="57">
        <f>D144</f>
        <v>379.9</v>
      </c>
      <c r="N144" s="57"/>
    </row>
    <row r="145" ht="19.5" customHeight="1">
      <c r="A145" s="8"/>
      <c r="B145" s="74"/>
      <c r="C145" s="75"/>
      <c r="D145" s="26">
        <v>114000.0</v>
      </c>
      <c r="E145" s="72" t="s">
        <v>190</v>
      </c>
      <c r="F145" s="75"/>
      <c r="G145" s="75"/>
      <c r="H145" s="75"/>
      <c r="I145" s="75"/>
      <c r="J145" s="75"/>
      <c r="K145" s="58">
        <f>D145</f>
        <v>114000</v>
      </c>
      <c r="L145" s="75"/>
      <c r="N145" s="57"/>
    </row>
    <row r="146" ht="19.5" customHeight="1">
      <c r="A146" s="81"/>
      <c r="B146" s="77" t="s">
        <v>8</v>
      </c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57" t="str">
        <f t="shared" ref="M146:M189" si="25">D146</f>
        <v/>
      </c>
      <c r="N146" s="82"/>
    </row>
    <row r="147" ht="19.5" customHeight="1">
      <c r="A147" s="81"/>
      <c r="B147" s="83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57" t="str">
        <f t="shared" si="25"/>
        <v/>
      </c>
      <c r="N147" s="57"/>
    </row>
    <row r="148" ht="19.5" customHeight="1">
      <c r="A148" s="81"/>
      <c r="B148" s="83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57" t="str">
        <f t="shared" si="25"/>
        <v/>
      </c>
      <c r="N148" s="57"/>
    </row>
    <row r="149" ht="19.5" customHeight="1">
      <c r="A149" s="8"/>
      <c r="B149" s="84" t="s">
        <v>237</v>
      </c>
      <c r="C149" s="80" t="s">
        <v>12</v>
      </c>
      <c r="D149" s="76"/>
      <c r="E149" s="76"/>
      <c r="F149" s="76"/>
      <c r="G149" s="76"/>
      <c r="H149" s="76"/>
      <c r="I149" s="76"/>
      <c r="J149" s="76"/>
      <c r="K149" s="76"/>
      <c r="L149" s="76"/>
      <c r="M149" s="58" t="str">
        <f t="shared" si="25"/>
        <v/>
      </c>
      <c r="N149" s="57"/>
    </row>
    <row r="150" ht="19.5" customHeight="1">
      <c r="A150" s="8"/>
      <c r="B150" s="74"/>
      <c r="C150" s="75" t="s">
        <v>13</v>
      </c>
      <c r="D150" s="26"/>
      <c r="E150" s="26"/>
      <c r="F150" s="26"/>
      <c r="G150" s="26"/>
      <c r="H150" s="26"/>
      <c r="I150" s="26"/>
      <c r="J150" s="26"/>
      <c r="K150" s="26"/>
      <c r="L150" s="26"/>
      <c r="M150" s="58" t="str">
        <f t="shared" si="25"/>
        <v/>
      </c>
      <c r="N150" s="57"/>
    </row>
    <row r="151" ht="19.5" customHeight="1">
      <c r="A151" s="8"/>
      <c r="B151" s="73"/>
      <c r="C151" s="69" t="s">
        <v>14</v>
      </c>
      <c r="D151" s="76"/>
      <c r="E151" s="76"/>
      <c r="F151" s="76"/>
      <c r="G151" s="76"/>
      <c r="H151" s="76"/>
      <c r="I151" s="76"/>
      <c r="J151" s="76"/>
      <c r="K151" s="76"/>
      <c r="L151" s="76"/>
      <c r="M151" s="58" t="str">
        <f t="shared" si="25"/>
        <v/>
      </c>
      <c r="N151" s="57"/>
    </row>
    <row r="152" ht="19.5" customHeight="1">
      <c r="A152" s="8"/>
      <c r="B152" s="74"/>
      <c r="C152" s="75" t="s">
        <v>15</v>
      </c>
      <c r="D152" s="26"/>
      <c r="E152" s="26"/>
      <c r="F152" s="26"/>
      <c r="G152" s="26"/>
      <c r="H152" s="26"/>
      <c r="I152" s="26"/>
      <c r="J152" s="26"/>
      <c r="K152" s="26"/>
      <c r="L152" s="26"/>
      <c r="M152" s="58" t="str">
        <f t="shared" si="25"/>
        <v/>
      </c>
      <c r="N152" s="57"/>
    </row>
    <row r="153" ht="19.5" customHeight="1">
      <c r="A153" s="8"/>
      <c r="B153" s="73"/>
      <c r="C153" s="80" t="s">
        <v>16</v>
      </c>
      <c r="D153" s="76"/>
      <c r="E153" s="76"/>
      <c r="F153" s="76"/>
      <c r="G153" s="76"/>
      <c r="H153" s="76"/>
      <c r="I153" s="76"/>
      <c r="J153" s="76"/>
      <c r="K153" s="76"/>
      <c r="L153" s="76"/>
      <c r="M153" s="58" t="str">
        <f t="shared" si="25"/>
        <v/>
      </c>
      <c r="N153" s="57"/>
    </row>
    <row r="154" ht="19.5" customHeight="1">
      <c r="A154" s="8"/>
      <c r="B154" s="74"/>
      <c r="C154" s="75" t="s">
        <v>17</v>
      </c>
      <c r="D154" s="75"/>
      <c r="E154" s="75"/>
      <c r="F154" s="75"/>
      <c r="G154" s="75"/>
      <c r="H154" s="75"/>
      <c r="I154" s="75"/>
      <c r="J154" s="75"/>
      <c r="K154" s="75"/>
      <c r="L154" s="75"/>
      <c r="M154" s="57" t="str">
        <f t="shared" si="25"/>
        <v/>
      </c>
      <c r="N154" s="57"/>
    </row>
    <row r="155" ht="19.5" customHeight="1">
      <c r="A155" s="8"/>
      <c r="B155" s="73"/>
      <c r="C155" s="80" t="s">
        <v>18</v>
      </c>
      <c r="D155" s="80"/>
      <c r="E155" s="80"/>
      <c r="F155" s="80"/>
      <c r="G155" s="80"/>
      <c r="H155" s="80"/>
      <c r="I155" s="80"/>
      <c r="J155" s="80"/>
      <c r="K155" s="80"/>
      <c r="L155" s="80"/>
      <c r="M155" s="57" t="str">
        <f t="shared" si="25"/>
        <v/>
      </c>
      <c r="N155" s="57"/>
    </row>
    <row r="156" ht="19.5" customHeight="1">
      <c r="A156" s="8"/>
      <c r="B156" s="74"/>
      <c r="C156" s="75" t="s">
        <v>19</v>
      </c>
      <c r="D156" s="75"/>
      <c r="E156" s="75"/>
      <c r="F156" s="75"/>
      <c r="G156" s="75"/>
      <c r="H156" s="75"/>
      <c r="I156" s="75"/>
      <c r="J156" s="75"/>
      <c r="K156" s="75"/>
      <c r="L156" s="75"/>
      <c r="M156" s="57" t="str">
        <f t="shared" si="25"/>
        <v/>
      </c>
      <c r="N156" s="57"/>
    </row>
    <row r="157" ht="19.5" customHeight="1">
      <c r="A157" s="8"/>
      <c r="B157" s="73"/>
      <c r="C157" s="80" t="s">
        <v>20</v>
      </c>
      <c r="D157" s="80"/>
      <c r="E157" s="80"/>
      <c r="F157" s="80"/>
      <c r="G157" s="80"/>
      <c r="H157" s="80"/>
      <c r="I157" s="80"/>
      <c r="J157" s="80"/>
      <c r="K157" s="80"/>
      <c r="L157" s="80"/>
      <c r="M157" s="57" t="str">
        <f t="shared" si="25"/>
        <v/>
      </c>
      <c r="N157" s="57"/>
    </row>
    <row r="158" ht="19.5" customHeight="1">
      <c r="A158" s="8"/>
      <c r="B158" s="74"/>
      <c r="C158" s="75" t="s">
        <v>21</v>
      </c>
      <c r="D158" s="75"/>
      <c r="E158" s="75"/>
      <c r="F158" s="75"/>
      <c r="G158" s="75"/>
      <c r="H158" s="75"/>
      <c r="I158" s="75"/>
      <c r="J158" s="75"/>
      <c r="K158" s="75"/>
      <c r="L158" s="75"/>
      <c r="M158" s="57" t="str">
        <f t="shared" si="25"/>
        <v/>
      </c>
      <c r="N158" s="57"/>
    </row>
    <row r="159" ht="19.5" customHeight="1">
      <c r="A159" s="8"/>
      <c r="B159" s="73"/>
      <c r="C159" s="80" t="s">
        <v>22</v>
      </c>
      <c r="D159" s="80"/>
      <c r="E159" s="80"/>
      <c r="F159" s="80"/>
      <c r="G159" s="80"/>
      <c r="H159" s="80"/>
      <c r="I159" s="80"/>
      <c r="J159" s="80"/>
      <c r="K159" s="80"/>
      <c r="L159" s="80"/>
      <c r="M159" s="57" t="str">
        <f t="shared" si="25"/>
        <v/>
      </c>
      <c r="N159" s="57"/>
    </row>
    <row r="160" ht="19.5" customHeight="1">
      <c r="A160" s="8"/>
      <c r="B160" s="74"/>
      <c r="C160" s="75" t="s">
        <v>23</v>
      </c>
      <c r="D160" s="75"/>
      <c r="E160" s="75"/>
      <c r="F160" s="75"/>
      <c r="G160" s="75"/>
      <c r="H160" s="75"/>
      <c r="I160" s="75"/>
      <c r="J160" s="75"/>
      <c r="K160" s="75"/>
      <c r="L160" s="75"/>
      <c r="M160" s="57" t="str">
        <f t="shared" si="25"/>
        <v/>
      </c>
      <c r="N160" s="57"/>
    </row>
    <row r="161" ht="19.5" customHeight="1">
      <c r="A161" s="8"/>
      <c r="B161" s="85" t="s">
        <v>8</v>
      </c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57" t="str">
        <f t="shared" si="25"/>
        <v/>
      </c>
      <c r="N161" s="75"/>
    </row>
    <row r="162" ht="19.5" customHeight="1">
      <c r="A162" s="8"/>
      <c r="B162" s="8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57" t="str">
        <f t="shared" si="25"/>
        <v/>
      </c>
      <c r="N162" s="75"/>
    </row>
    <row r="163" ht="19.5" customHeight="1">
      <c r="A163" s="8"/>
      <c r="B163" s="8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57" t="str">
        <f t="shared" si="25"/>
        <v/>
      </c>
      <c r="N163" s="75"/>
    </row>
    <row r="164" ht="19.5" customHeight="1">
      <c r="A164" s="8"/>
      <c r="B164" s="19" t="s">
        <v>11</v>
      </c>
      <c r="C164" s="20" t="s">
        <v>12</v>
      </c>
      <c r="D164" s="86"/>
      <c r="E164" s="40" t="s">
        <v>131</v>
      </c>
      <c r="F164" s="86"/>
      <c r="G164" s="86"/>
      <c r="H164" s="86"/>
      <c r="I164" s="86"/>
      <c r="J164" s="86"/>
      <c r="K164" s="86"/>
      <c r="L164" s="86"/>
      <c r="M164" s="58" t="str">
        <f t="shared" si="25"/>
        <v/>
      </c>
      <c r="N164" s="87"/>
    </row>
    <row r="165" ht="19.5" customHeight="1">
      <c r="A165" s="8"/>
      <c r="B165" s="19"/>
      <c r="C165" s="20"/>
      <c r="D165" s="86"/>
      <c r="E165" s="42" t="s">
        <v>207</v>
      </c>
      <c r="F165" s="86"/>
      <c r="G165" s="86"/>
      <c r="H165" s="86"/>
      <c r="I165" s="86"/>
      <c r="J165" s="86"/>
      <c r="K165" s="86"/>
      <c r="L165" s="86"/>
      <c r="M165" s="58" t="str">
        <f t="shared" si="25"/>
        <v/>
      </c>
      <c r="N165" s="87"/>
    </row>
    <row r="166" ht="19.5" customHeight="1">
      <c r="A166" s="8"/>
      <c r="B166" s="19"/>
      <c r="C166" s="20"/>
      <c r="D166" s="86"/>
      <c r="E166" s="40" t="s">
        <v>173</v>
      </c>
      <c r="F166" s="86"/>
      <c r="G166" s="86"/>
      <c r="H166" s="86"/>
      <c r="I166" s="86"/>
      <c r="J166" s="86"/>
      <c r="K166" s="86"/>
      <c r="L166" s="86"/>
      <c r="M166" s="58" t="str">
        <f t="shared" si="25"/>
        <v/>
      </c>
      <c r="N166" s="87"/>
    </row>
    <row r="167" ht="19.5" customHeight="1">
      <c r="A167" s="8"/>
      <c r="B167" s="19"/>
      <c r="C167" s="20"/>
      <c r="D167" s="86"/>
      <c r="E167" s="42" t="s">
        <v>208</v>
      </c>
      <c r="F167" s="86"/>
      <c r="G167" s="86"/>
      <c r="H167" s="86"/>
      <c r="I167" s="86"/>
      <c r="J167" s="86"/>
      <c r="K167" s="86"/>
      <c r="L167" s="86"/>
      <c r="M167" s="58" t="str">
        <f t="shared" si="25"/>
        <v/>
      </c>
      <c r="N167" s="87"/>
    </row>
    <row r="168" ht="19.5" customHeight="1">
      <c r="A168" s="8"/>
      <c r="B168" s="19"/>
      <c r="C168" s="20"/>
      <c r="D168" s="86"/>
      <c r="E168" s="40" t="s">
        <v>55</v>
      </c>
      <c r="F168" s="86"/>
      <c r="G168" s="86"/>
      <c r="H168" s="86"/>
      <c r="I168" s="86"/>
      <c r="J168" s="86"/>
      <c r="K168" s="86"/>
      <c r="L168" s="86"/>
      <c r="M168" s="58" t="str">
        <f t="shared" si="25"/>
        <v/>
      </c>
      <c r="N168" s="87"/>
    </row>
    <row r="169" ht="19.5" customHeight="1">
      <c r="A169" s="8"/>
      <c r="B169" s="19"/>
      <c r="C169" s="20"/>
      <c r="D169" s="86"/>
      <c r="E169" s="42" t="s">
        <v>65</v>
      </c>
      <c r="F169" s="86"/>
      <c r="G169" s="86"/>
      <c r="H169" s="86"/>
      <c r="I169" s="86"/>
      <c r="J169" s="86"/>
      <c r="K169" s="86"/>
      <c r="L169" s="86"/>
      <c r="M169" s="58" t="str">
        <f t="shared" si="25"/>
        <v/>
      </c>
      <c r="N169" s="87"/>
    </row>
    <row r="170" ht="19.5" customHeight="1">
      <c r="A170" s="8"/>
      <c r="B170" s="19"/>
      <c r="C170" s="20"/>
      <c r="D170" s="86"/>
      <c r="E170" s="40" t="s">
        <v>56</v>
      </c>
      <c r="F170" s="86"/>
      <c r="G170" s="86"/>
      <c r="H170" s="86"/>
      <c r="I170" s="86"/>
      <c r="J170" s="86"/>
      <c r="K170" s="86"/>
      <c r="L170" s="86"/>
      <c r="M170" s="58" t="str">
        <f t="shared" si="25"/>
        <v/>
      </c>
      <c r="N170" s="87"/>
    </row>
    <row r="171" ht="19.5" customHeight="1">
      <c r="A171" s="8"/>
      <c r="B171" s="19"/>
      <c r="C171" s="20"/>
      <c r="D171" s="86"/>
      <c r="E171" s="42" t="s">
        <v>57</v>
      </c>
      <c r="F171" s="86"/>
      <c r="G171" s="86"/>
      <c r="H171" s="86"/>
      <c r="I171" s="86"/>
      <c r="J171" s="86"/>
      <c r="K171" s="86"/>
      <c r="L171" s="86"/>
      <c r="M171" s="58" t="str">
        <f t="shared" si="25"/>
        <v/>
      </c>
      <c r="N171" s="87"/>
    </row>
    <row r="172" ht="19.5" customHeight="1">
      <c r="A172" s="8"/>
      <c r="B172" s="19"/>
      <c r="C172" s="20"/>
      <c r="D172" s="86"/>
      <c r="E172" s="40" t="s">
        <v>58</v>
      </c>
      <c r="F172" s="86"/>
      <c r="G172" s="86"/>
      <c r="H172" s="86"/>
      <c r="I172" s="86"/>
      <c r="J172" s="86"/>
      <c r="K172" s="86"/>
      <c r="L172" s="86"/>
      <c r="M172" s="58" t="str">
        <f t="shared" si="25"/>
        <v/>
      </c>
      <c r="N172" s="87"/>
    </row>
    <row r="173" ht="19.5" customHeight="1">
      <c r="A173" s="8"/>
      <c r="B173" s="19"/>
      <c r="C173" s="20"/>
      <c r="D173" s="86"/>
      <c r="E173" s="42" t="s">
        <v>64</v>
      </c>
      <c r="F173" s="86"/>
      <c r="G173" s="86"/>
      <c r="H173" s="86"/>
      <c r="I173" s="86"/>
      <c r="J173" s="86"/>
      <c r="K173" s="86"/>
      <c r="L173" s="86"/>
      <c r="M173" s="58" t="str">
        <f t="shared" si="25"/>
        <v/>
      </c>
      <c r="N173" s="87"/>
    </row>
    <row r="174" ht="19.5" customHeight="1">
      <c r="A174" s="8"/>
      <c r="B174" s="19"/>
      <c r="C174" s="20"/>
      <c r="D174" s="86"/>
      <c r="E174" s="40" t="s">
        <v>59</v>
      </c>
      <c r="F174" s="86"/>
      <c r="G174" s="86"/>
      <c r="H174" s="86"/>
      <c r="I174" s="86"/>
      <c r="J174" s="86"/>
      <c r="K174" s="86"/>
      <c r="L174" s="86"/>
      <c r="M174" s="58" t="str">
        <f t="shared" si="25"/>
        <v/>
      </c>
      <c r="N174" s="87"/>
    </row>
    <row r="175" ht="19.5" customHeight="1">
      <c r="A175" s="8"/>
      <c r="B175" s="19"/>
      <c r="C175" s="20"/>
      <c r="D175" s="86"/>
      <c r="E175" s="42" t="s">
        <v>60</v>
      </c>
      <c r="F175" s="86"/>
      <c r="G175" s="86"/>
      <c r="H175" s="86"/>
      <c r="I175" s="86"/>
      <c r="J175" s="86"/>
      <c r="K175" s="86"/>
      <c r="L175" s="86"/>
      <c r="M175" s="58" t="str">
        <f t="shared" si="25"/>
        <v/>
      </c>
      <c r="N175" s="87"/>
    </row>
    <row r="176" ht="19.5" customHeight="1">
      <c r="A176" s="8"/>
      <c r="B176" s="19"/>
      <c r="C176" s="20"/>
      <c r="D176" s="86"/>
      <c r="E176" s="40" t="s">
        <v>61</v>
      </c>
      <c r="F176" s="86"/>
      <c r="G176" s="86"/>
      <c r="H176" s="86"/>
      <c r="I176" s="86"/>
      <c r="J176" s="86"/>
      <c r="K176" s="86"/>
      <c r="L176" s="86"/>
      <c r="M176" s="58" t="str">
        <f t="shared" si="25"/>
        <v/>
      </c>
      <c r="N176" s="87"/>
    </row>
    <row r="177" ht="19.5" customHeight="1">
      <c r="A177" s="8"/>
      <c r="B177" s="19"/>
      <c r="C177" s="20"/>
      <c r="D177" s="86"/>
      <c r="E177" s="42" t="s">
        <v>62</v>
      </c>
      <c r="F177" s="86"/>
      <c r="G177" s="86"/>
      <c r="H177" s="86"/>
      <c r="I177" s="86"/>
      <c r="J177" s="86"/>
      <c r="K177" s="86"/>
      <c r="L177" s="86"/>
      <c r="M177" s="58" t="str">
        <f t="shared" si="25"/>
        <v/>
      </c>
      <c r="N177" s="87"/>
    </row>
    <row r="178" ht="19.5" customHeight="1">
      <c r="A178" s="8"/>
      <c r="B178" s="19"/>
      <c r="C178" s="20"/>
      <c r="D178" s="86"/>
      <c r="E178" s="40" t="s">
        <v>63</v>
      </c>
      <c r="F178" s="86"/>
      <c r="G178" s="86"/>
      <c r="H178" s="86"/>
      <c r="I178" s="86"/>
      <c r="J178" s="86"/>
      <c r="K178" s="86"/>
      <c r="L178" s="86"/>
      <c r="M178" s="58" t="str">
        <f t="shared" si="25"/>
        <v/>
      </c>
      <c r="N178" s="87"/>
    </row>
    <row r="179" ht="19.5" customHeight="1">
      <c r="A179" s="8"/>
      <c r="B179" s="19"/>
      <c r="C179" s="20"/>
      <c r="D179" s="86"/>
      <c r="E179" s="42" t="s">
        <v>139</v>
      </c>
      <c r="F179" s="86"/>
      <c r="G179" s="86"/>
      <c r="H179" s="86"/>
      <c r="I179" s="86"/>
      <c r="J179" s="86"/>
      <c r="K179" s="86"/>
      <c r="L179" s="86"/>
      <c r="M179" s="58" t="str">
        <f t="shared" si="25"/>
        <v/>
      </c>
      <c r="N179" s="87"/>
    </row>
    <row r="180" ht="19.5" customHeight="1">
      <c r="A180" s="8"/>
      <c r="B180" s="19"/>
      <c r="C180" s="20"/>
      <c r="D180" s="86"/>
      <c r="E180" s="40" t="s">
        <v>144</v>
      </c>
      <c r="F180" s="86"/>
      <c r="G180" s="86"/>
      <c r="H180" s="86"/>
      <c r="I180" s="86"/>
      <c r="J180" s="86"/>
      <c r="K180" s="86"/>
      <c r="L180" s="86"/>
      <c r="M180" s="58" t="str">
        <f t="shared" si="25"/>
        <v/>
      </c>
      <c r="N180" s="87"/>
    </row>
    <row r="181" ht="19.5" customHeight="1">
      <c r="A181" s="8"/>
      <c r="B181" s="19"/>
      <c r="C181" s="20"/>
      <c r="D181" s="86"/>
      <c r="E181" s="42" t="s">
        <v>146</v>
      </c>
      <c r="F181" s="86"/>
      <c r="G181" s="86"/>
      <c r="H181" s="86"/>
      <c r="I181" s="86"/>
      <c r="J181" s="86"/>
      <c r="K181" s="86"/>
      <c r="L181" s="86"/>
      <c r="M181" s="58" t="str">
        <f t="shared" si="25"/>
        <v/>
      </c>
      <c r="N181" s="87"/>
    </row>
    <row r="182" ht="19.5" customHeight="1">
      <c r="A182" s="8"/>
      <c r="B182" s="19"/>
      <c r="C182" s="20"/>
      <c r="D182" s="86"/>
      <c r="E182" s="40" t="s">
        <v>209</v>
      </c>
      <c r="F182" s="86"/>
      <c r="G182" s="86"/>
      <c r="H182" s="86"/>
      <c r="I182" s="86"/>
      <c r="J182" s="86"/>
      <c r="K182" s="86"/>
      <c r="L182" s="86"/>
      <c r="M182" s="58" t="str">
        <f t="shared" si="25"/>
        <v/>
      </c>
      <c r="N182" s="87"/>
    </row>
    <row r="183" ht="19.5" customHeight="1">
      <c r="A183" s="8"/>
      <c r="B183" s="19"/>
      <c r="C183" s="20"/>
      <c r="D183" s="86"/>
      <c r="E183" s="42" t="s">
        <v>210</v>
      </c>
      <c r="F183" s="86"/>
      <c r="G183" s="86"/>
      <c r="H183" s="86"/>
      <c r="I183" s="86"/>
      <c r="J183" s="86"/>
      <c r="K183" s="86"/>
      <c r="L183" s="86"/>
      <c r="M183" s="58" t="str">
        <f t="shared" si="25"/>
        <v/>
      </c>
      <c r="N183" s="87"/>
    </row>
    <row r="184" ht="19.5" customHeight="1">
      <c r="A184" s="8"/>
      <c r="B184" s="22"/>
      <c r="C184" s="23" t="s">
        <v>13</v>
      </c>
      <c r="D184" s="39"/>
      <c r="E184" s="40" t="s">
        <v>145</v>
      </c>
      <c r="F184" s="39"/>
      <c r="G184" s="39"/>
      <c r="H184" s="39"/>
      <c r="I184" s="39"/>
      <c r="J184" s="39"/>
      <c r="K184" s="39"/>
      <c r="L184" s="39"/>
      <c r="M184" s="58" t="str">
        <f t="shared" si="25"/>
        <v/>
      </c>
      <c r="N184" s="88"/>
    </row>
    <row r="185" ht="19.5" customHeight="1">
      <c r="A185" s="8"/>
      <c r="B185" s="25"/>
      <c r="C185" s="20" t="s">
        <v>14</v>
      </c>
      <c r="D185" s="86"/>
      <c r="E185" s="42" t="s">
        <v>214</v>
      </c>
      <c r="F185" s="86"/>
      <c r="G185" s="86"/>
      <c r="H185" s="86"/>
      <c r="I185" s="86"/>
      <c r="J185" s="86"/>
      <c r="K185" s="86"/>
      <c r="L185" s="86"/>
      <c r="M185" s="58" t="str">
        <f t="shared" si="25"/>
        <v/>
      </c>
      <c r="N185" s="87"/>
    </row>
    <row r="186" ht="19.5" customHeight="1">
      <c r="A186" s="8"/>
      <c r="B186" s="22"/>
      <c r="C186" s="23" t="s">
        <v>15</v>
      </c>
      <c r="D186" s="39"/>
      <c r="E186" s="40" t="s">
        <v>211</v>
      </c>
      <c r="F186" s="39"/>
      <c r="G186" s="39"/>
      <c r="H186" s="39"/>
      <c r="I186" s="39"/>
      <c r="J186" s="39"/>
      <c r="K186" s="39"/>
      <c r="L186" s="39"/>
      <c r="M186" s="58" t="str">
        <f t="shared" si="25"/>
        <v/>
      </c>
      <c r="N186" s="88"/>
    </row>
    <row r="187" ht="19.5" customHeight="1">
      <c r="A187" s="8"/>
      <c r="B187" s="25"/>
      <c r="C187" s="20" t="s">
        <v>16</v>
      </c>
      <c r="D187" s="86"/>
      <c r="E187" s="112" t="s">
        <v>212</v>
      </c>
      <c r="F187" s="86"/>
      <c r="G187" s="86"/>
      <c r="H187" s="86"/>
      <c r="I187" s="86"/>
      <c r="J187" s="86"/>
      <c r="K187" s="86"/>
      <c r="L187" s="86"/>
      <c r="M187" s="58" t="str">
        <f t="shared" si="25"/>
        <v/>
      </c>
      <c r="N187" s="87"/>
    </row>
    <row r="188" ht="19.5" customHeight="1">
      <c r="A188" s="8"/>
      <c r="B188" s="22"/>
      <c r="C188" s="23" t="s">
        <v>17</v>
      </c>
      <c r="D188" s="79"/>
      <c r="E188" s="79"/>
      <c r="F188" s="79"/>
      <c r="G188" s="79"/>
      <c r="H188" s="79"/>
      <c r="I188" s="79"/>
      <c r="J188" s="79"/>
      <c r="K188" s="79"/>
      <c r="L188" s="79"/>
      <c r="M188" s="57" t="str">
        <f t="shared" si="25"/>
        <v/>
      </c>
      <c r="N188" s="89"/>
    </row>
    <row r="189" ht="19.5" customHeight="1">
      <c r="A189" s="8"/>
      <c r="B189" s="25"/>
      <c r="C189" s="20" t="s">
        <v>18</v>
      </c>
      <c r="D189" s="30"/>
      <c r="E189" s="42" t="s">
        <v>131</v>
      </c>
      <c r="F189" s="30"/>
      <c r="G189" s="30"/>
      <c r="H189" s="30"/>
      <c r="I189" s="30"/>
      <c r="J189" s="30"/>
      <c r="K189" s="30"/>
      <c r="L189" s="30"/>
      <c r="M189" s="57" t="str">
        <f t="shared" si="25"/>
        <v/>
      </c>
      <c r="N189" s="90"/>
    </row>
    <row r="190" ht="19.5" customHeight="1">
      <c r="A190" s="8"/>
      <c r="B190" s="25"/>
      <c r="C190" s="20"/>
      <c r="D190" s="30"/>
      <c r="E190" s="40" t="s">
        <v>207</v>
      </c>
      <c r="F190" s="30"/>
      <c r="G190" s="30"/>
      <c r="H190" s="30"/>
      <c r="I190" s="30"/>
      <c r="J190" s="30"/>
      <c r="K190" s="30"/>
      <c r="L190" s="30"/>
      <c r="M190" s="57"/>
      <c r="N190" s="90"/>
    </row>
    <row r="191" ht="19.5" customHeight="1">
      <c r="A191" s="8"/>
      <c r="B191" s="25"/>
      <c r="C191" s="20"/>
      <c r="D191" s="30"/>
      <c r="E191" s="42" t="s">
        <v>173</v>
      </c>
      <c r="F191" s="30"/>
      <c r="G191" s="30"/>
      <c r="H191" s="30"/>
      <c r="I191" s="30"/>
      <c r="J191" s="30"/>
      <c r="K191" s="30"/>
      <c r="L191" s="30"/>
      <c r="M191" s="57"/>
      <c r="N191" s="90"/>
    </row>
    <row r="192" ht="19.5" customHeight="1">
      <c r="A192" s="8"/>
      <c r="B192" s="25"/>
      <c r="C192" s="20"/>
      <c r="D192" s="30"/>
      <c r="E192" s="40" t="s">
        <v>208</v>
      </c>
      <c r="F192" s="30"/>
      <c r="G192" s="30"/>
      <c r="H192" s="30"/>
      <c r="I192" s="30"/>
      <c r="J192" s="30"/>
      <c r="K192" s="30"/>
      <c r="L192" s="30"/>
      <c r="M192" s="57"/>
      <c r="N192" s="90"/>
    </row>
    <row r="193" ht="19.5" customHeight="1">
      <c r="A193" s="8"/>
      <c r="B193" s="25"/>
      <c r="C193" s="20"/>
      <c r="D193" s="30"/>
      <c r="E193" s="42" t="s">
        <v>55</v>
      </c>
      <c r="F193" s="30"/>
      <c r="G193" s="30"/>
      <c r="H193" s="30"/>
      <c r="I193" s="30"/>
      <c r="J193" s="30"/>
      <c r="K193" s="30"/>
      <c r="L193" s="30"/>
      <c r="M193" s="57"/>
      <c r="N193" s="90"/>
    </row>
    <row r="194" ht="19.5" customHeight="1">
      <c r="A194" s="8"/>
      <c r="B194" s="25"/>
      <c r="C194" s="20"/>
      <c r="D194" s="30"/>
      <c r="E194" s="40" t="s">
        <v>238</v>
      </c>
      <c r="F194" s="30"/>
      <c r="G194" s="30"/>
      <c r="H194" s="30"/>
      <c r="I194" s="30"/>
      <c r="J194" s="30"/>
      <c r="K194" s="30"/>
      <c r="L194" s="30"/>
      <c r="M194" s="57"/>
      <c r="N194" s="90"/>
    </row>
    <row r="195" ht="19.5" customHeight="1">
      <c r="A195" s="8"/>
      <c r="B195" s="25"/>
      <c r="C195" s="20"/>
      <c r="D195" s="30"/>
      <c r="E195" s="42" t="s">
        <v>65</v>
      </c>
      <c r="F195" s="30"/>
      <c r="G195" s="30"/>
      <c r="H195" s="30"/>
      <c r="I195" s="30"/>
      <c r="J195" s="30"/>
      <c r="K195" s="30"/>
      <c r="L195" s="30"/>
      <c r="M195" s="57"/>
      <c r="N195" s="90"/>
    </row>
    <row r="196" ht="19.5" customHeight="1">
      <c r="A196" s="8"/>
      <c r="B196" s="25"/>
      <c r="C196" s="20"/>
      <c r="D196" s="30"/>
      <c r="E196" s="40" t="s">
        <v>239</v>
      </c>
      <c r="F196" s="30"/>
      <c r="G196" s="30"/>
      <c r="H196" s="30"/>
      <c r="I196" s="30"/>
      <c r="J196" s="30"/>
      <c r="K196" s="30"/>
      <c r="L196" s="30"/>
      <c r="M196" s="57"/>
      <c r="N196" s="90"/>
    </row>
    <row r="197" ht="19.5" customHeight="1">
      <c r="A197" s="8"/>
      <c r="B197" s="25"/>
      <c r="C197" s="20"/>
      <c r="D197" s="30"/>
      <c r="E197" s="42" t="s">
        <v>56</v>
      </c>
      <c r="F197" s="30"/>
      <c r="G197" s="30"/>
      <c r="H197" s="30"/>
      <c r="I197" s="30"/>
      <c r="J197" s="30"/>
      <c r="K197" s="30"/>
      <c r="L197" s="30"/>
      <c r="M197" s="57"/>
      <c r="N197" s="90"/>
    </row>
    <row r="198" ht="19.5" customHeight="1">
      <c r="A198" s="8"/>
      <c r="B198" s="25"/>
      <c r="C198" s="20"/>
      <c r="D198" s="30"/>
      <c r="E198" s="40" t="s">
        <v>57</v>
      </c>
      <c r="F198" s="30"/>
      <c r="G198" s="30"/>
      <c r="H198" s="30"/>
      <c r="I198" s="30"/>
      <c r="J198" s="30"/>
      <c r="K198" s="30"/>
      <c r="L198" s="30"/>
      <c r="M198" s="57"/>
      <c r="N198" s="90"/>
    </row>
    <row r="199" ht="19.5" customHeight="1">
      <c r="A199" s="8"/>
      <c r="B199" s="25"/>
      <c r="C199" s="20"/>
      <c r="D199" s="30"/>
      <c r="E199" s="42" t="s">
        <v>58</v>
      </c>
      <c r="F199" s="30"/>
      <c r="G199" s="30"/>
      <c r="H199" s="30"/>
      <c r="I199" s="30"/>
      <c r="J199" s="30"/>
      <c r="K199" s="30"/>
      <c r="L199" s="30"/>
      <c r="M199" s="57"/>
      <c r="N199" s="90"/>
    </row>
    <row r="200" ht="19.5" customHeight="1">
      <c r="A200" s="8"/>
      <c r="B200" s="25"/>
      <c r="C200" s="20"/>
      <c r="D200" s="30"/>
      <c r="E200" s="40" t="s">
        <v>64</v>
      </c>
      <c r="F200" s="30"/>
      <c r="G200" s="30"/>
      <c r="H200" s="30"/>
      <c r="I200" s="30"/>
      <c r="J200" s="30"/>
      <c r="K200" s="30"/>
      <c r="L200" s="30"/>
      <c r="M200" s="57"/>
      <c r="N200" s="90"/>
    </row>
    <row r="201" ht="19.5" customHeight="1">
      <c r="A201" s="8"/>
      <c r="B201" s="25"/>
      <c r="C201" s="20"/>
      <c r="D201" s="30"/>
      <c r="E201" s="42" t="s">
        <v>59</v>
      </c>
      <c r="F201" s="30"/>
      <c r="G201" s="30"/>
      <c r="H201" s="30"/>
      <c r="I201" s="30"/>
      <c r="J201" s="30"/>
      <c r="K201" s="30"/>
      <c r="L201" s="30"/>
      <c r="M201" s="57"/>
      <c r="N201" s="90"/>
    </row>
    <row r="202" ht="19.5" customHeight="1">
      <c r="A202" s="8"/>
      <c r="B202" s="25"/>
      <c r="C202" s="20"/>
      <c r="D202" s="30"/>
      <c r="E202" s="40" t="s">
        <v>60</v>
      </c>
      <c r="F202" s="30"/>
      <c r="G202" s="30"/>
      <c r="H202" s="30"/>
      <c r="I202" s="30"/>
      <c r="J202" s="30"/>
      <c r="K202" s="30"/>
      <c r="L202" s="30"/>
      <c r="M202" s="57"/>
      <c r="N202" s="90"/>
    </row>
    <row r="203" ht="19.5" customHeight="1">
      <c r="A203" s="8"/>
      <c r="B203" s="25"/>
      <c r="C203" s="20"/>
      <c r="D203" s="30"/>
      <c r="E203" s="42" t="s">
        <v>61</v>
      </c>
      <c r="F203" s="30"/>
      <c r="G203" s="30"/>
      <c r="H203" s="30"/>
      <c r="I203" s="30"/>
      <c r="J203" s="30"/>
      <c r="K203" s="30"/>
      <c r="L203" s="30"/>
      <c r="M203" s="57"/>
      <c r="N203" s="90"/>
    </row>
    <row r="204" ht="19.5" customHeight="1">
      <c r="A204" s="8"/>
      <c r="B204" s="25"/>
      <c r="C204" s="20"/>
      <c r="D204" s="30"/>
      <c r="E204" s="40" t="s">
        <v>62</v>
      </c>
      <c r="F204" s="30"/>
      <c r="G204" s="30"/>
      <c r="H204" s="30"/>
      <c r="I204" s="30"/>
      <c r="J204" s="30"/>
      <c r="K204" s="30"/>
      <c r="L204" s="30"/>
      <c r="M204" s="57"/>
      <c r="N204" s="90"/>
    </row>
    <row r="205" ht="19.5" customHeight="1">
      <c r="A205" s="8"/>
      <c r="B205" s="25"/>
      <c r="C205" s="20"/>
      <c r="D205" s="123">
        <v>3000.0</v>
      </c>
      <c r="E205" s="42" t="s">
        <v>240</v>
      </c>
      <c r="F205" s="30"/>
      <c r="G205" s="30"/>
      <c r="H205" s="30"/>
      <c r="I205" s="30"/>
      <c r="J205" s="30"/>
      <c r="K205" s="30"/>
      <c r="L205" s="30"/>
      <c r="M205" s="57"/>
      <c r="N205" s="90"/>
    </row>
    <row r="206" ht="19.5" customHeight="1">
      <c r="A206" s="8"/>
      <c r="B206" s="25"/>
      <c r="C206" s="20"/>
      <c r="D206" s="30"/>
      <c r="E206" s="40" t="s">
        <v>241</v>
      </c>
      <c r="F206" s="30"/>
      <c r="G206" s="30"/>
      <c r="H206" s="30"/>
      <c r="I206" s="30"/>
      <c r="J206" s="30"/>
      <c r="K206" s="30"/>
      <c r="L206" s="30"/>
      <c r="M206" s="57"/>
      <c r="N206" s="90"/>
    </row>
    <row r="207" ht="19.5" customHeight="1">
      <c r="A207" s="8"/>
      <c r="B207" s="25"/>
      <c r="C207" s="20"/>
      <c r="D207" s="30"/>
      <c r="E207" s="42" t="s">
        <v>242</v>
      </c>
      <c r="F207" s="30"/>
      <c r="G207" s="30"/>
      <c r="H207" s="30"/>
      <c r="I207" s="30"/>
      <c r="J207" s="30"/>
      <c r="K207" s="30"/>
      <c r="L207" s="30"/>
      <c r="M207" s="57"/>
      <c r="N207" s="90"/>
    </row>
    <row r="208" ht="19.5" customHeight="1">
      <c r="A208" s="8"/>
      <c r="B208" s="25"/>
      <c r="C208" s="20"/>
      <c r="D208" s="30"/>
      <c r="E208" s="40" t="s">
        <v>139</v>
      </c>
      <c r="F208" s="30"/>
      <c r="G208" s="30"/>
      <c r="H208" s="30"/>
      <c r="I208" s="30"/>
      <c r="J208" s="30"/>
      <c r="K208" s="30"/>
      <c r="L208" s="30"/>
      <c r="M208" s="57"/>
      <c r="N208" s="90"/>
    </row>
    <row r="209" ht="19.5" customHeight="1">
      <c r="A209" s="8"/>
      <c r="B209" s="25"/>
      <c r="C209" s="20"/>
      <c r="D209" s="30"/>
      <c r="E209" s="42" t="s">
        <v>144</v>
      </c>
      <c r="F209" s="30"/>
      <c r="G209" s="30"/>
      <c r="H209" s="30"/>
      <c r="I209" s="30"/>
      <c r="J209" s="30"/>
      <c r="K209" s="30"/>
      <c r="L209" s="30"/>
      <c r="M209" s="57"/>
      <c r="N209" s="90"/>
    </row>
    <row r="210" ht="19.5" customHeight="1">
      <c r="A210" s="8"/>
      <c r="B210" s="25"/>
      <c r="C210" s="20"/>
      <c r="D210" s="30"/>
      <c r="E210" s="40" t="s">
        <v>243</v>
      </c>
      <c r="F210" s="30"/>
      <c r="G210" s="30"/>
      <c r="H210" s="30"/>
      <c r="I210" s="30"/>
      <c r="J210" s="30"/>
      <c r="K210" s="30"/>
      <c r="L210" s="30"/>
      <c r="M210" s="57"/>
      <c r="N210" s="90"/>
    </row>
    <row r="211" ht="19.5" customHeight="1">
      <c r="A211" s="8"/>
      <c r="B211" s="25"/>
      <c r="C211" s="20"/>
      <c r="D211" s="30"/>
      <c r="E211" s="42" t="s">
        <v>146</v>
      </c>
      <c r="F211" s="30"/>
      <c r="G211" s="30"/>
      <c r="H211" s="30"/>
      <c r="I211" s="30"/>
      <c r="J211" s="30"/>
      <c r="K211" s="30"/>
      <c r="L211" s="30"/>
      <c r="M211" s="57"/>
      <c r="N211" s="90"/>
    </row>
    <row r="212" ht="19.5" customHeight="1">
      <c r="A212" s="8"/>
      <c r="B212" s="25"/>
      <c r="C212" s="20"/>
      <c r="D212" s="30"/>
      <c r="E212" s="40" t="s">
        <v>209</v>
      </c>
      <c r="F212" s="30"/>
      <c r="G212" s="30"/>
      <c r="H212" s="30"/>
      <c r="I212" s="30"/>
      <c r="J212" s="30"/>
      <c r="K212" s="30"/>
      <c r="L212" s="30"/>
      <c r="M212" s="57"/>
      <c r="N212" s="90"/>
    </row>
    <row r="213" ht="19.5" customHeight="1">
      <c r="A213" s="8"/>
      <c r="B213" s="25"/>
      <c r="C213" s="20"/>
      <c r="D213" s="30"/>
      <c r="E213" s="42" t="s">
        <v>210</v>
      </c>
      <c r="F213" s="30"/>
      <c r="G213" s="30"/>
      <c r="H213" s="30"/>
      <c r="I213" s="30"/>
      <c r="J213" s="30"/>
      <c r="K213" s="30"/>
      <c r="L213" s="30"/>
      <c r="M213" s="57"/>
      <c r="N213" s="90"/>
    </row>
    <row r="214" ht="19.5" customHeight="1">
      <c r="A214" s="8"/>
      <c r="B214" s="25"/>
      <c r="C214" s="20"/>
      <c r="D214" s="30"/>
      <c r="E214" s="40" t="s">
        <v>145</v>
      </c>
      <c r="F214" s="30"/>
      <c r="G214" s="30"/>
      <c r="H214" s="30"/>
      <c r="I214" s="30"/>
      <c r="J214" s="30"/>
      <c r="K214" s="30"/>
      <c r="L214" s="30"/>
      <c r="M214" s="57"/>
      <c r="N214" s="90"/>
    </row>
    <row r="215" ht="19.5" customHeight="1">
      <c r="A215" s="8"/>
      <c r="B215" s="25"/>
      <c r="C215" s="20"/>
      <c r="D215" s="30"/>
      <c r="E215" s="42" t="s">
        <v>214</v>
      </c>
      <c r="F215" s="30"/>
      <c r="G215" s="30"/>
      <c r="H215" s="30"/>
      <c r="I215" s="30"/>
      <c r="J215" s="30"/>
      <c r="K215" s="30"/>
      <c r="L215" s="30"/>
      <c r="M215" s="57"/>
      <c r="N215" s="90"/>
    </row>
    <row r="216" ht="19.5" customHeight="1">
      <c r="A216" s="8"/>
      <c r="B216" s="25"/>
      <c r="C216" s="20"/>
      <c r="D216" s="30"/>
      <c r="E216" s="40" t="s">
        <v>211</v>
      </c>
      <c r="F216" s="30"/>
      <c r="G216" s="30"/>
      <c r="H216" s="30"/>
      <c r="I216" s="30"/>
      <c r="J216" s="30"/>
      <c r="K216" s="30"/>
      <c r="L216" s="30"/>
      <c r="M216" s="57"/>
      <c r="N216" s="90"/>
    </row>
    <row r="217" ht="19.5" customHeight="1">
      <c r="A217" s="8"/>
      <c r="B217" s="25"/>
      <c r="C217" s="20"/>
      <c r="D217" s="30"/>
      <c r="E217" s="17" t="s">
        <v>244</v>
      </c>
      <c r="F217" s="30"/>
      <c r="G217" s="30"/>
      <c r="H217" s="30"/>
      <c r="I217" s="30"/>
      <c r="J217" s="30"/>
      <c r="K217" s="30"/>
      <c r="L217" s="30"/>
      <c r="M217" s="57"/>
      <c r="N217" s="90"/>
    </row>
    <row r="218" ht="19.5" customHeight="1">
      <c r="A218" s="8"/>
      <c r="B218" s="25"/>
      <c r="C218" s="20"/>
      <c r="D218" s="30"/>
      <c r="E218" s="124" t="s">
        <v>245</v>
      </c>
      <c r="F218" s="30"/>
      <c r="G218" s="30"/>
      <c r="H218" s="30"/>
      <c r="I218" s="30"/>
      <c r="J218" s="30"/>
      <c r="K218" s="30"/>
      <c r="L218" s="30"/>
      <c r="M218" s="57"/>
      <c r="N218" s="90"/>
    </row>
    <row r="219" ht="19.5" customHeight="1">
      <c r="A219" s="8"/>
      <c r="B219" s="25"/>
      <c r="C219" s="20"/>
      <c r="D219" s="30"/>
      <c r="E219" s="30" t="s">
        <v>246</v>
      </c>
      <c r="F219" s="30"/>
      <c r="G219" s="30"/>
      <c r="H219" s="30"/>
      <c r="I219" s="30"/>
      <c r="J219" s="30"/>
      <c r="K219" s="30"/>
      <c r="L219" s="30"/>
      <c r="M219" s="57"/>
      <c r="N219" s="90"/>
    </row>
    <row r="220" ht="19.5" customHeight="1">
      <c r="A220" s="8"/>
      <c r="B220" s="25"/>
      <c r="C220" s="20"/>
      <c r="D220" s="30"/>
      <c r="E220" s="30"/>
      <c r="F220" s="30"/>
      <c r="G220" s="30"/>
      <c r="H220" s="30"/>
      <c r="I220" s="30"/>
      <c r="J220" s="30"/>
      <c r="K220" s="30"/>
      <c r="L220" s="30"/>
      <c r="M220" s="57"/>
      <c r="N220" s="90"/>
    </row>
    <row r="221" ht="19.5" customHeight="1">
      <c r="A221" s="8"/>
      <c r="B221" s="25"/>
      <c r="C221" s="20"/>
      <c r="D221" s="30"/>
      <c r="E221" s="30"/>
      <c r="F221" s="30"/>
      <c r="G221" s="30"/>
      <c r="H221" s="30"/>
      <c r="I221" s="30"/>
      <c r="J221" s="30"/>
      <c r="K221" s="30"/>
      <c r="L221" s="30"/>
      <c r="M221" s="57"/>
      <c r="N221" s="90"/>
    </row>
    <row r="222" ht="19.5" customHeight="1">
      <c r="A222" s="8"/>
      <c r="B222" s="25"/>
      <c r="C222" s="20"/>
      <c r="D222" s="30"/>
      <c r="E222" s="30"/>
      <c r="F222" s="30"/>
      <c r="G222" s="30"/>
      <c r="H222" s="30"/>
      <c r="I222" s="30"/>
      <c r="J222" s="30"/>
      <c r="K222" s="30"/>
      <c r="L222" s="30"/>
      <c r="M222" s="57"/>
      <c r="N222" s="90"/>
    </row>
    <row r="223" ht="19.5" customHeight="1">
      <c r="A223" s="8"/>
      <c r="B223" s="22"/>
      <c r="C223" s="23" t="s">
        <v>19</v>
      </c>
      <c r="D223" s="125">
        <v>570093.0</v>
      </c>
      <c r="E223" s="40" t="s">
        <v>131</v>
      </c>
      <c r="F223" s="79"/>
      <c r="G223" s="79"/>
      <c r="H223" s="79"/>
      <c r="I223" s="79"/>
      <c r="J223" s="79"/>
      <c r="K223" s="79"/>
      <c r="L223" s="79"/>
      <c r="M223" s="58">
        <f>D223</f>
        <v>570093</v>
      </c>
      <c r="N223" s="89"/>
    </row>
    <row r="224" ht="19.5" customHeight="1">
      <c r="A224" s="8"/>
      <c r="B224" s="22"/>
      <c r="C224" s="23"/>
      <c r="D224" s="125">
        <v>5947.0</v>
      </c>
      <c r="E224" s="42" t="s">
        <v>207</v>
      </c>
      <c r="F224" s="79"/>
      <c r="G224" s="79"/>
      <c r="H224" s="79"/>
      <c r="I224" s="79"/>
      <c r="J224" s="79"/>
      <c r="K224" s="79"/>
      <c r="L224" s="79"/>
      <c r="M224" s="57"/>
      <c r="N224" s="89"/>
    </row>
    <row r="225" ht="19.5" customHeight="1">
      <c r="A225" s="8"/>
      <c r="B225" s="22"/>
      <c r="C225" s="23"/>
      <c r="D225" s="125">
        <v>259101.0</v>
      </c>
      <c r="E225" s="40" t="s">
        <v>173</v>
      </c>
      <c r="F225" s="79"/>
      <c r="G225" s="79"/>
      <c r="H225" s="79"/>
      <c r="I225" s="79"/>
      <c r="J225" s="79"/>
      <c r="K225" s="79"/>
      <c r="L225" s="79"/>
      <c r="M225" s="57"/>
      <c r="N225" s="89"/>
    </row>
    <row r="226" ht="19.5" customHeight="1">
      <c r="A226" s="8"/>
      <c r="B226" s="22"/>
      <c r="C226" s="23"/>
      <c r="D226" s="125">
        <v>212354.0</v>
      </c>
      <c r="E226" s="42" t="s">
        <v>208</v>
      </c>
      <c r="F226" s="79"/>
      <c r="G226" s="79"/>
      <c r="H226" s="79"/>
      <c r="I226" s="79"/>
      <c r="J226" s="79"/>
      <c r="K226" s="79"/>
      <c r="L226" s="79"/>
      <c r="M226" s="57"/>
      <c r="N226" s="89"/>
    </row>
    <row r="227" ht="19.5" customHeight="1">
      <c r="A227" s="8"/>
      <c r="B227" s="22"/>
      <c r="C227" s="23"/>
      <c r="D227" s="125">
        <v>5000.0</v>
      </c>
      <c r="E227" s="40" t="s">
        <v>55</v>
      </c>
      <c r="F227" s="79"/>
      <c r="G227" s="79"/>
      <c r="H227" s="79"/>
      <c r="I227" s="79"/>
      <c r="J227" s="79"/>
      <c r="K227" s="79"/>
      <c r="L227" s="79"/>
      <c r="M227" s="57"/>
      <c r="N227" s="89"/>
    </row>
    <row r="228" ht="19.5" customHeight="1">
      <c r="A228" s="8"/>
      <c r="B228" s="22"/>
      <c r="C228" s="23"/>
      <c r="D228" s="125">
        <v>2000.0</v>
      </c>
      <c r="E228" s="51" t="s">
        <v>238</v>
      </c>
      <c r="F228" s="79"/>
      <c r="G228" s="79"/>
      <c r="H228" s="79"/>
      <c r="I228" s="79"/>
      <c r="J228" s="79"/>
      <c r="K228" s="79"/>
      <c r="L228" s="79"/>
      <c r="M228" s="57"/>
      <c r="N228" s="89"/>
    </row>
    <row r="229" ht="19.5" customHeight="1">
      <c r="A229" s="8"/>
      <c r="B229" s="22"/>
      <c r="C229" s="23"/>
      <c r="D229" s="79"/>
      <c r="E229" s="42" t="s">
        <v>65</v>
      </c>
      <c r="F229" s="79"/>
      <c r="G229" s="79"/>
      <c r="H229" s="79"/>
      <c r="I229" s="79"/>
      <c r="J229" s="79"/>
      <c r="K229" s="79"/>
      <c r="L229" s="79"/>
      <c r="M229" s="57"/>
      <c r="N229" s="89"/>
    </row>
    <row r="230" ht="19.5" customHeight="1">
      <c r="A230" s="8"/>
      <c r="B230" s="22"/>
      <c r="C230" s="23"/>
      <c r="D230" s="125">
        <v>1000.0</v>
      </c>
      <c r="E230" s="50" t="s">
        <v>239</v>
      </c>
      <c r="F230" s="79"/>
      <c r="G230" s="79"/>
      <c r="H230" s="79"/>
      <c r="I230" s="79"/>
      <c r="J230" s="79"/>
      <c r="K230" s="79"/>
      <c r="L230" s="79"/>
      <c r="M230" s="57"/>
      <c r="N230" s="89"/>
    </row>
    <row r="231" ht="19.5" customHeight="1">
      <c r="A231" s="8"/>
      <c r="B231" s="22"/>
      <c r="C231" s="23"/>
      <c r="D231" s="125">
        <v>5000.0</v>
      </c>
      <c r="E231" s="40" t="s">
        <v>56</v>
      </c>
      <c r="F231" s="79"/>
      <c r="G231" s="79"/>
      <c r="H231" s="79"/>
      <c r="I231" s="79"/>
      <c r="J231" s="79"/>
      <c r="K231" s="79"/>
      <c r="L231" s="79"/>
      <c r="M231" s="57"/>
      <c r="N231" s="89"/>
    </row>
    <row r="232" ht="19.5" customHeight="1">
      <c r="A232" s="8"/>
      <c r="B232" s="22"/>
      <c r="C232" s="23"/>
      <c r="D232" s="125">
        <v>3000.0</v>
      </c>
      <c r="E232" s="42" t="s">
        <v>57</v>
      </c>
      <c r="F232" s="79"/>
      <c r="G232" s="79"/>
      <c r="H232" s="79"/>
      <c r="I232" s="79"/>
      <c r="J232" s="79"/>
      <c r="K232" s="79"/>
      <c r="L232" s="79"/>
      <c r="M232" s="57"/>
      <c r="N232" s="89"/>
    </row>
    <row r="233" ht="19.5" customHeight="1">
      <c r="A233" s="8"/>
      <c r="B233" s="22"/>
      <c r="C233" s="23"/>
      <c r="D233" s="125">
        <v>5000.0</v>
      </c>
      <c r="E233" s="40" t="s">
        <v>58</v>
      </c>
      <c r="F233" s="79"/>
      <c r="G233" s="79"/>
      <c r="H233" s="79"/>
      <c r="I233" s="79"/>
      <c r="J233" s="79"/>
      <c r="K233" s="79"/>
      <c r="L233" s="79"/>
      <c r="M233" s="57"/>
      <c r="N233" s="89"/>
    </row>
    <row r="234" ht="19.5" customHeight="1">
      <c r="A234" s="8"/>
      <c r="B234" s="22"/>
      <c r="C234" s="23"/>
      <c r="D234" s="79"/>
      <c r="E234" s="42" t="s">
        <v>64</v>
      </c>
      <c r="F234" s="79"/>
      <c r="G234" s="79"/>
      <c r="H234" s="79"/>
      <c r="I234" s="79"/>
      <c r="J234" s="79"/>
      <c r="K234" s="79"/>
      <c r="L234" s="79"/>
      <c r="M234" s="57"/>
      <c r="N234" s="89"/>
    </row>
    <row r="235" ht="19.5" customHeight="1">
      <c r="A235" s="8"/>
      <c r="B235" s="22"/>
      <c r="C235" s="23"/>
      <c r="D235" s="125">
        <v>5000.0</v>
      </c>
      <c r="E235" s="40" t="s">
        <v>59</v>
      </c>
      <c r="F235" s="79"/>
      <c r="G235" s="79"/>
      <c r="H235" s="79"/>
      <c r="I235" s="79"/>
      <c r="J235" s="79"/>
      <c r="K235" s="79"/>
      <c r="L235" s="79"/>
      <c r="M235" s="57"/>
      <c r="N235" s="89"/>
    </row>
    <row r="236" ht="19.5" customHeight="1">
      <c r="A236" s="8"/>
      <c r="B236" s="22"/>
      <c r="C236" s="23"/>
      <c r="D236" s="79"/>
      <c r="E236" s="42" t="s">
        <v>60</v>
      </c>
      <c r="F236" s="79"/>
      <c r="G236" s="79"/>
      <c r="H236" s="79"/>
      <c r="I236" s="79"/>
      <c r="J236" s="79"/>
      <c r="K236" s="79"/>
      <c r="L236" s="79"/>
      <c r="M236" s="57"/>
      <c r="N236" s="89"/>
    </row>
    <row r="237" ht="19.5" customHeight="1">
      <c r="A237" s="8"/>
      <c r="B237" s="22"/>
      <c r="C237" s="23"/>
      <c r="D237" s="79"/>
      <c r="E237" s="40" t="s">
        <v>61</v>
      </c>
      <c r="F237" s="79"/>
      <c r="G237" s="79"/>
      <c r="H237" s="79"/>
      <c r="I237" s="79"/>
      <c r="J237" s="79"/>
      <c r="K237" s="79"/>
      <c r="L237" s="79"/>
      <c r="M237" s="57"/>
      <c r="N237" s="89"/>
    </row>
    <row r="238" ht="19.5" customHeight="1">
      <c r="A238" s="8"/>
      <c r="B238" s="22"/>
      <c r="C238" s="23"/>
      <c r="D238" s="125">
        <v>2000.0</v>
      </c>
      <c r="E238" s="42" t="s">
        <v>62</v>
      </c>
      <c r="F238" s="79"/>
      <c r="G238" s="79"/>
      <c r="H238" s="79"/>
      <c r="I238" s="79"/>
      <c r="J238" s="79"/>
      <c r="K238" s="79"/>
      <c r="L238" s="79"/>
      <c r="M238" s="57"/>
      <c r="N238" s="89"/>
    </row>
    <row r="239" ht="19.5" customHeight="1">
      <c r="A239" s="8"/>
      <c r="B239" s="22"/>
      <c r="C239" s="23"/>
      <c r="D239" s="79"/>
      <c r="E239" s="40" t="s">
        <v>240</v>
      </c>
      <c r="F239" s="79"/>
      <c r="G239" s="79"/>
      <c r="H239" s="79"/>
      <c r="I239" s="79"/>
      <c r="J239" s="79"/>
      <c r="K239" s="79"/>
      <c r="L239" s="79"/>
      <c r="M239" s="57"/>
      <c r="N239" s="89"/>
    </row>
    <row r="240" ht="19.5" customHeight="1">
      <c r="A240" s="8"/>
      <c r="B240" s="22"/>
      <c r="C240" s="23"/>
      <c r="D240" s="125">
        <v>6000.0</v>
      </c>
      <c r="E240" s="50" t="s">
        <v>241</v>
      </c>
      <c r="F240" s="79"/>
      <c r="G240" s="79"/>
      <c r="H240" s="79"/>
      <c r="I240" s="79"/>
      <c r="J240" s="79"/>
      <c r="K240" s="79"/>
      <c r="L240" s="79"/>
      <c r="M240" s="57"/>
      <c r="N240" s="89"/>
    </row>
    <row r="241" ht="19.5" customHeight="1">
      <c r="A241" s="8"/>
      <c r="B241" s="22"/>
      <c r="C241" s="23"/>
      <c r="D241" s="79"/>
      <c r="E241" s="42" t="s">
        <v>242</v>
      </c>
      <c r="F241" s="79"/>
      <c r="G241" s="79"/>
      <c r="H241" s="79"/>
      <c r="I241" s="79"/>
      <c r="J241" s="79"/>
      <c r="K241" s="79"/>
      <c r="L241" s="79"/>
      <c r="M241" s="57"/>
      <c r="N241" s="89"/>
    </row>
    <row r="242" ht="19.5" customHeight="1">
      <c r="A242" s="8"/>
      <c r="B242" s="22"/>
      <c r="C242" s="23"/>
      <c r="D242" s="125">
        <v>2000.0</v>
      </c>
      <c r="E242" s="40" t="s">
        <v>139</v>
      </c>
      <c r="F242" s="79"/>
      <c r="G242" s="79"/>
      <c r="H242" s="79"/>
      <c r="I242" s="79"/>
      <c r="J242" s="79"/>
      <c r="K242" s="79"/>
      <c r="L242" s="79"/>
      <c r="M242" s="57"/>
      <c r="N242" s="89"/>
    </row>
    <row r="243" ht="19.5" customHeight="1">
      <c r="A243" s="8"/>
      <c r="B243" s="22"/>
      <c r="C243" s="23"/>
      <c r="D243" s="125">
        <v>16000.0</v>
      </c>
      <c r="E243" s="42" t="s">
        <v>144</v>
      </c>
      <c r="F243" s="79"/>
      <c r="G243" s="79"/>
      <c r="H243" s="79"/>
      <c r="I243" s="79"/>
      <c r="J243" s="79"/>
      <c r="K243" s="79"/>
      <c r="L243" s="79"/>
      <c r="M243" s="57"/>
      <c r="N243" s="89"/>
    </row>
    <row r="244" ht="19.5" customHeight="1">
      <c r="A244" s="8"/>
      <c r="B244" s="22"/>
      <c r="C244" s="23"/>
      <c r="D244" s="79"/>
      <c r="E244" s="40" t="s">
        <v>243</v>
      </c>
      <c r="F244" s="79"/>
      <c r="G244" s="79"/>
      <c r="H244" s="79"/>
      <c r="I244" s="79"/>
      <c r="J244" s="79"/>
      <c r="K244" s="79"/>
      <c r="L244" s="79"/>
      <c r="M244" s="57"/>
      <c r="N244" s="89"/>
    </row>
    <row r="245" ht="19.5" customHeight="1">
      <c r="A245" s="8"/>
      <c r="B245" s="22"/>
      <c r="C245" s="23"/>
      <c r="D245" s="125">
        <v>15000.0</v>
      </c>
      <c r="E245" s="42" t="s">
        <v>146</v>
      </c>
      <c r="F245" s="79"/>
      <c r="G245" s="79"/>
      <c r="H245" s="79"/>
      <c r="I245" s="79"/>
      <c r="J245" s="79"/>
      <c r="K245" s="79"/>
      <c r="L245" s="79"/>
      <c r="M245" s="57"/>
      <c r="N245" s="89"/>
    </row>
    <row r="246" ht="19.5" customHeight="1">
      <c r="A246" s="8"/>
      <c r="B246" s="22"/>
      <c r="C246" s="23"/>
      <c r="D246" s="15">
        <v>388.0</v>
      </c>
      <c r="E246" s="40" t="s">
        <v>209</v>
      </c>
      <c r="F246" s="79"/>
      <c r="G246" s="79"/>
      <c r="H246" s="79"/>
      <c r="I246" s="79"/>
      <c r="J246" s="79"/>
      <c r="K246" s="79"/>
      <c r="L246" s="79"/>
      <c r="M246" s="57"/>
      <c r="N246" s="89"/>
    </row>
    <row r="247" ht="19.5" customHeight="1">
      <c r="A247" s="8"/>
      <c r="B247" s="22"/>
      <c r="C247" s="23"/>
      <c r="D247" s="15">
        <v>205.0</v>
      </c>
      <c r="E247" s="42" t="s">
        <v>210</v>
      </c>
      <c r="F247" s="79"/>
      <c r="G247" s="79"/>
      <c r="H247" s="79"/>
      <c r="I247" s="79"/>
      <c r="J247" s="79"/>
      <c r="K247" s="79"/>
      <c r="L247" s="79"/>
      <c r="M247" s="57"/>
      <c r="N247" s="89"/>
    </row>
    <row r="248" ht="19.5" customHeight="1">
      <c r="A248" s="8"/>
      <c r="B248" s="22"/>
      <c r="C248" s="23"/>
      <c r="D248" s="125">
        <v>20000.0</v>
      </c>
      <c r="E248" s="40" t="s">
        <v>145</v>
      </c>
      <c r="F248" s="79"/>
      <c r="G248" s="79"/>
      <c r="H248" s="79"/>
      <c r="I248" s="79"/>
      <c r="J248" s="79"/>
      <c r="K248" s="79"/>
      <c r="L248" s="79"/>
      <c r="M248" s="57"/>
      <c r="N248" s="89"/>
    </row>
    <row r="249" ht="19.5" customHeight="1">
      <c r="A249" s="8"/>
      <c r="B249" s="22"/>
      <c r="C249" s="23"/>
      <c r="D249" s="79"/>
      <c r="E249" s="42" t="s">
        <v>214</v>
      </c>
      <c r="F249" s="79"/>
      <c r="G249" s="79"/>
      <c r="H249" s="79"/>
      <c r="I249" s="79"/>
      <c r="J249" s="79"/>
      <c r="K249" s="79"/>
      <c r="L249" s="79"/>
      <c r="M249" s="57"/>
      <c r="N249" s="89"/>
    </row>
    <row r="250" ht="19.5" customHeight="1">
      <c r="A250" s="8"/>
      <c r="B250" s="22"/>
      <c r="C250" s="23"/>
      <c r="D250" s="125">
        <v>200000.0</v>
      </c>
      <c r="E250" s="40" t="s">
        <v>211</v>
      </c>
      <c r="F250" s="79"/>
      <c r="G250" s="79"/>
      <c r="H250" s="79"/>
      <c r="I250" s="79"/>
      <c r="J250" s="79"/>
      <c r="K250" s="79"/>
      <c r="L250" s="79"/>
      <c r="M250" s="57"/>
      <c r="N250" s="89"/>
    </row>
    <row r="251" ht="19.5" customHeight="1">
      <c r="A251" s="8"/>
      <c r="B251" s="22"/>
      <c r="C251" s="23"/>
      <c r="D251" s="79"/>
      <c r="E251" s="17" t="s">
        <v>244</v>
      </c>
      <c r="F251" s="79"/>
      <c r="G251" s="79"/>
      <c r="H251" s="79"/>
      <c r="I251" s="79"/>
      <c r="J251" s="79"/>
      <c r="K251" s="79"/>
      <c r="L251" s="79"/>
      <c r="M251" s="57"/>
      <c r="N251" s="89"/>
    </row>
    <row r="252" ht="19.5" customHeight="1">
      <c r="A252" s="8"/>
      <c r="B252" s="22"/>
      <c r="C252" s="23"/>
      <c r="D252" s="125">
        <v>66000.0</v>
      </c>
      <c r="E252" s="125" t="s">
        <v>245</v>
      </c>
      <c r="F252" s="79"/>
      <c r="G252" s="79"/>
      <c r="H252" s="79"/>
      <c r="I252" s="79"/>
      <c r="J252" s="79"/>
      <c r="K252" s="79"/>
      <c r="L252" s="79"/>
      <c r="M252" s="57"/>
      <c r="N252" s="89"/>
    </row>
    <row r="253" ht="19.5" customHeight="1">
      <c r="A253" s="8"/>
      <c r="B253" s="22"/>
      <c r="C253" s="23"/>
      <c r="D253" s="79"/>
      <c r="E253" s="30" t="s">
        <v>246</v>
      </c>
      <c r="F253" s="79"/>
      <c r="G253" s="79"/>
      <c r="H253" s="79"/>
      <c r="I253" s="79"/>
      <c r="J253" s="79"/>
      <c r="K253" s="79"/>
      <c r="L253" s="79"/>
      <c r="M253" s="57"/>
      <c r="N253" s="89"/>
    </row>
    <row r="254" ht="19.5" customHeight="1">
      <c r="A254" s="8"/>
      <c r="B254" s="22"/>
      <c r="C254" s="23"/>
      <c r="D254" s="79"/>
      <c r="E254" s="79"/>
      <c r="F254" s="79"/>
      <c r="G254" s="79"/>
      <c r="H254" s="79"/>
      <c r="I254" s="79"/>
      <c r="J254" s="79"/>
      <c r="K254" s="79"/>
      <c r="L254" s="79"/>
      <c r="M254" s="57"/>
      <c r="N254" s="89"/>
    </row>
    <row r="255" ht="19.5" customHeight="1">
      <c r="A255" s="8"/>
      <c r="B255" s="22"/>
      <c r="C255" s="23"/>
      <c r="D255" s="79"/>
      <c r="E255" s="79"/>
      <c r="F255" s="79"/>
      <c r="G255" s="79"/>
      <c r="H255" s="79"/>
      <c r="I255" s="79"/>
      <c r="J255" s="79"/>
      <c r="K255" s="79"/>
      <c r="L255" s="79"/>
      <c r="M255" s="57"/>
      <c r="N255" s="89"/>
    </row>
    <row r="256" ht="19.5" customHeight="1">
      <c r="A256" s="8"/>
      <c r="B256" s="25"/>
      <c r="C256" s="20" t="s">
        <v>20</v>
      </c>
      <c r="D256" s="123">
        <v>875358.0</v>
      </c>
      <c r="E256" s="42" t="s">
        <v>131</v>
      </c>
      <c r="F256" s="30"/>
      <c r="G256" s="30"/>
      <c r="H256" s="30"/>
      <c r="I256" s="30"/>
      <c r="J256" s="30"/>
      <c r="K256" s="30"/>
      <c r="L256" s="30"/>
      <c r="M256" s="58">
        <f>D256</f>
        <v>875358</v>
      </c>
      <c r="N256" s="90"/>
    </row>
    <row r="257" ht="19.5" customHeight="1">
      <c r="A257" s="8"/>
      <c r="B257" s="25"/>
      <c r="C257" s="20"/>
      <c r="D257" s="123">
        <v>6904.0</v>
      </c>
      <c r="E257" s="40" t="s">
        <v>207</v>
      </c>
      <c r="F257" s="30"/>
      <c r="G257" s="30"/>
      <c r="H257" s="30"/>
      <c r="I257" s="30"/>
      <c r="J257" s="30"/>
      <c r="K257" s="30"/>
      <c r="L257" s="30"/>
      <c r="M257" s="57"/>
      <c r="N257" s="90"/>
    </row>
    <row r="258" ht="19.5" customHeight="1">
      <c r="A258" s="8"/>
      <c r="B258" s="25"/>
      <c r="C258" s="20"/>
      <c r="D258" s="123">
        <v>235590.0</v>
      </c>
      <c r="E258" s="42" t="s">
        <v>173</v>
      </c>
      <c r="F258" s="30"/>
      <c r="G258" s="30"/>
      <c r="H258" s="30"/>
      <c r="I258" s="30"/>
      <c r="J258" s="30"/>
      <c r="K258" s="30"/>
      <c r="L258" s="30"/>
      <c r="M258" s="57"/>
      <c r="N258" s="90"/>
    </row>
    <row r="259" ht="19.5" customHeight="1">
      <c r="A259" s="8"/>
      <c r="B259" s="25"/>
      <c r="C259" s="20"/>
      <c r="D259" s="123">
        <v>207333.0</v>
      </c>
      <c r="E259" s="40" t="s">
        <v>208</v>
      </c>
      <c r="F259" s="30"/>
      <c r="G259" s="30"/>
      <c r="H259" s="30"/>
      <c r="I259" s="30"/>
      <c r="J259" s="30"/>
      <c r="K259" s="30"/>
      <c r="L259" s="30"/>
      <c r="M259" s="57"/>
      <c r="N259" s="90"/>
    </row>
    <row r="260" ht="19.5" customHeight="1">
      <c r="A260" s="8"/>
      <c r="B260" s="25"/>
      <c r="C260" s="20"/>
      <c r="D260" s="123">
        <v>10000.0</v>
      </c>
      <c r="E260" s="42" t="s">
        <v>55</v>
      </c>
      <c r="F260" s="30"/>
      <c r="G260" s="30"/>
      <c r="H260" s="30"/>
      <c r="I260" s="30"/>
      <c r="J260" s="30"/>
      <c r="K260" s="30"/>
      <c r="L260" s="30"/>
      <c r="M260" s="57"/>
      <c r="N260" s="90"/>
    </row>
    <row r="261" ht="19.5" customHeight="1">
      <c r="A261" s="8"/>
      <c r="B261" s="25"/>
      <c r="C261" s="20"/>
      <c r="D261" s="30"/>
      <c r="E261" s="40" t="s">
        <v>65</v>
      </c>
      <c r="F261" s="30"/>
      <c r="G261" s="30"/>
      <c r="H261" s="30"/>
      <c r="I261" s="30"/>
      <c r="J261" s="30"/>
      <c r="K261" s="30"/>
      <c r="L261" s="30"/>
      <c r="M261" s="57"/>
      <c r="N261" s="90"/>
    </row>
    <row r="262" ht="19.5" customHeight="1">
      <c r="A262" s="8"/>
      <c r="B262" s="25"/>
      <c r="C262" s="20"/>
      <c r="D262" s="123">
        <v>5000.0</v>
      </c>
      <c r="E262" s="42" t="s">
        <v>56</v>
      </c>
      <c r="F262" s="30"/>
      <c r="G262" s="30"/>
      <c r="H262" s="30"/>
      <c r="I262" s="30"/>
      <c r="J262" s="30"/>
      <c r="K262" s="30"/>
      <c r="L262" s="30"/>
      <c r="M262" s="57"/>
      <c r="N262" s="90"/>
    </row>
    <row r="263" ht="19.5" customHeight="1">
      <c r="A263" s="8"/>
      <c r="B263" s="25"/>
      <c r="C263" s="20"/>
      <c r="D263" s="123">
        <v>2000.0</v>
      </c>
      <c r="E263" s="40" t="s">
        <v>57</v>
      </c>
      <c r="F263" s="30"/>
      <c r="G263" s="30"/>
      <c r="H263" s="30"/>
      <c r="I263" s="30"/>
      <c r="J263" s="30"/>
      <c r="K263" s="30"/>
      <c r="L263" s="30"/>
      <c r="M263" s="57"/>
      <c r="N263" s="90"/>
    </row>
    <row r="264" ht="19.5" customHeight="1">
      <c r="A264" s="8"/>
      <c r="B264" s="25"/>
      <c r="C264" s="20"/>
      <c r="D264" s="30"/>
      <c r="E264" s="42" t="s">
        <v>58</v>
      </c>
      <c r="F264" s="30"/>
      <c r="G264" s="30"/>
      <c r="H264" s="30"/>
      <c r="I264" s="30"/>
      <c r="J264" s="30"/>
      <c r="K264" s="30"/>
      <c r="L264" s="30"/>
      <c r="M264" s="57"/>
      <c r="N264" s="90"/>
    </row>
    <row r="265" ht="19.5" customHeight="1">
      <c r="A265" s="8"/>
      <c r="B265" s="25"/>
      <c r="C265" s="20"/>
      <c r="D265" s="30"/>
      <c r="E265" s="40" t="s">
        <v>64</v>
      </c>
      <c r="F265" s="30"/>
      <c r="G265" s="30"/>
      <c r="H265" s="30"/>
      <c r="I265" s="30"/>
      <c r="J265" s="30"/>
      <c r="K265" s="30"/>
      <c r="L265" s="30"/>
      <c r="M265" s="57"/>
      <c r="N265" s="90"/>
    </row>
    <row r="266" ht="19.5" customHeight="1">
      <c r="A266" s="8"/>
      <c r="B266" s="25"/>
      <c r="C266" s="20"/>
      <c r="D266" s="30"/>
      <c r="E266" s="42" t="s">
        <v>59</v>
      </c>
      <c r="F266" s="30"/>
      <c r="G266" s="30"/>
      <c r="H266" s="30"/>
      <c r="I266" s="30"/>
      <c r="J266" s="30"/>
      <c r="K266" s="30"/>
      <c r="L266" s="30"/>
      <c r="M266" s="57"/>
      <c r="N266" s="90"/>
    </row>
    <row r="267" ht="19.5" customHeight="1">
      <c r="A267" s="8"/>
      <c r="B267" s="25"/>
      <c r="C267" s="20"/>
      <c r="D267" s="123">
        <v>5000.0</v>
      </c>
      <c r="E267" s="40" t="s">
        <v>60</v>
      </c>
      <c r="F267" s="30"/>
      <c r="G267" s="30"/>
      <c r="H267" s="30"/>
      <c r="I267" s="30"/>
      <c r="J267" s="30"/>
      <c r="K267" s="30"/>
      <c r="L267" s="30"/>
      <c r="M267" s="57"/>
      <c r="N267" s="90"/>
    </row>
    <row r="268" ht="19.5" customHeight="1">
      <c r="A268" s="8"/>
      <c r="B268" s="25"/>
      <c r="C268" s="20"/>
      <c r="D268" s="123">
        <v>5000.0</v>
      </c>
      <c r="E268" s="42" t="s">
        <v>61</v>
      </c>
      <c r="F268" s="30"/>
      <c r="G268" s="30"/>
      <c r="H268" s="30"/>
      <c r="I268" s="30"/>
      <c r="J268" s="30"/>
      <c r="K268" s="30"/>
      <c r="L268" s="30"/>
      <c r="M268" s="57"/>
      <c r="N268" s="90"/>
    </row>
    <row r="269" ht="19.5" customHeight="1">
      <c r="A269" s="8"/>
      <c r="B269" s="25"/>
      <c r="C269" s="20"/>
      <c r="D269" s="123">
        <v>4000.0</v>
      </c>
      <c r="E269" s="40" t="s">
        <v>62</v>
      </c>
      <c r="F269" s="30"/>
      <c r="G269" s="30"/>
      <c r="H269" s="30"/>
      <c r="I269" s="30"/>
      <c r="J269" s="30"/>
      <c r="K269" s="30"/>
      <c r="L269" s="30"/>
      <c r="M269" s="57"/>
      <c r="N269" s="90"/>
    </row>
    <row r="270" ht="19.5" customHeight="1">
      <c r="A270" s="8"/>
      <c r="B270" s="25"/>
      <c r="C270" s="20"/>
      <c r="D270" s="123">
        <v>3000.0</v>
      </c>
      <c r="E270" s="42" t="s">
        <v>240</v>
      </c>
      <c r="F270" s="30"/>
      <c r="G270" s="30"/>
      <c r="H270" s="30"/>
      <c r="I270" s="30"/>
      <c r="J270" s="30"/>
      <c r="K270" s="30"/>
      <c r="L270" s="30"/>
      <c r="M270" s="57"/>
      <c r="N270" s="90"/>
    </row>
    <row r="271" ht="19.5" customHeight="1">
      <c r="A271" s="8"/>
      <c r="B271" s="25"/>
      <c r="C271" s="20"/>
      <c r="D271" s="30"/>
      <c r="E271" s="40" t="s">
        <v>242</v>
      </c>
      <c r="F271" s="30"/>
      <c r="G271" s="30"/>
      <c r="H271" s="30"/>
      <c r="I271" s="30"/>
      <c r="J271" s="30"/>
      <c r="K271" s="30"/>
      <c r="L271" s="30"/>
      <c r="M271" s="57"/>
      <c r="N271" s="90"/>
    </row>
    <row r="272" ht="19.5" customHeight="1">
      <c r="A272" s="8"/>
      <c r="B272" s="25"/>
      <c r="C272" s="20"/>
      <c r="D272" s="123">
        <v>2000.0</v>
      </c>
      <c r="E272" s="42" t="s">
        <v>139</v>
      </c>
      <c r="F272" s="30"/>
      <c r="G272" s="30"/>
      <c r="H272" s="30"/>
      <c r="I272" s="30"/>
      <c r="J272" s="30"/>
      <c r="K272" s="30"/>
      <c r="L272" s="30"/>
      <c r="M272" s="57"/>
      <c r="N272" s="90"/>
    </row>
    <row r="273" ht="19.5" customHeight="1">
      <c r="A273" s="8"/>
      <c r="B273" s="25"/>
      <c r="C273" s="20"/>
      <c r="D273" s="123">
        <v>30000.0</v>
      </c>
      <c r="E273" s="40" t="s">
        <v>144</v>
      </c>
      <c r="F273" s="30"/>
      <c r="G273" s="30"/>
      <c r="H273" s="30"/>
      <c r="I273" s="30"/>
      <c r="J273" s="30"/>
      <c r="K273" s="30"/>
      <c r="L273" s="30"/>
      <c r="M273" s="57"/>
      <c r="N273" s="90"/>
    </row>
    <row r="274" ht="19.5" customHeight="1">
      <c r="A274" s="8"/>
      <c r="B274" s="25"/>
      <c r="C274" s="20"/>
      <c r="D274" s="123">
        <v>65776.0</v>
      </c>
      <c r="E274" s="51" t="s">
        <v>243</v>
      </c>
      <c r="F274" s="30"/>
      <c r="G274" s="30"/>
      <c r="H274" s="30"/>
      <c r="I274" s="30"/>
      <c r="J274" s="30"/>
      <c r="K274" s="30"/>
      <c r="L274" s="30"/>
      <c r="M274" s="57"/>
      <c r="N274" s="90"/>
    </row>
    <row r="275" ht="19.5" customHeight="1">
      <c r="A275" s="8"/>
      <c r="B275" s="25"/>
      <c r="C275" s="20"/>
      <c r="D275" s="123">
        <v>7300.0</v>
      </c>
      <c r="E275" s="42" t="s">
        <v>146</v>
      </c>
      <c r="F275" s="30"/>
      <c r="G275" s="30"/>
      <c r="H275" s="30"/>
      <c r="I275" s="30"/>
      <c r="J275" s="30"/>
      <c r="K275" s="30"/>
      <c r="L275" s="30"/>
      <c r="M275" s="57"/>
      <c r="N275" s="90"/>
    </row>
    <row r="276" ht="19.5" customHeight="1">
      <c r="A276" s="8"/>
      <c r="B276" s="25"/>
      <c r="C276" s="20"/>
      <c r="D276" s="126">
        <v>400.0</v>
      </c>
      <c r="E276" s="40" t="s">
        <v>209</v>
      </c>
      <c r="F276" s="30"/>
      <c r="G276" s="30"/>
      <c r="H276" s="30"/>
      <c r="I276" s="30"/>
      <c r="J276" s="30"/>
      <c r="K276" s="30"/>
      <c r="L276" s="30"/>
      <c r="M276" s="57"/>
      <c r="N276" s="90"/>
    </row>
    <row r="277" ht="19.5" customHeight="1">
      <c r="A277" s="8"/>
      <c r="B277" s="25"/>
      <c r="C277" s="20"/>
      <c r="D277" s="126">
        <v>550.0</v>
      </c>
      <c r="E277" s="42" t="s">
        <v>210</v>
      </c>
      <c r="F277" s="30"/>
      <c r="G277" s="30"/>
      <c r="H277" s="30"/>
      <c r="I277" s="30"/>
      <c r="J277" s="30"/>
      <c r="K277" s="30"/>
      <c r="L277" s="30"/>
      <c r="M277" s="57"/>
      <c r="N277" s="90"/>
    </row>
    <row r="278" ht="19.5" customHeight="1">
      <c r="A278" s="8"/>
      <c r="B278" s="25"/>
      <c r="C278" s="20"/>
      <c r="D278" s="123">
        <v>20000.0</v>
      </c>
      <c r="E278" s="40" t="s">
        <v>145</v>
      </c>
      <c r="F278" s="30"/>
      <c r="G278" s="30"/>
      <c r="H278" s="30"/>
      <c r="I278" s="30"/>
      <c r="J278" s="30"/>
      <c r="K278" s="30"/>
      <c r="L278" s="30"/>
      <c r="M278" s="57"/>
      <c r="N278" s="90"/>
    </row>
    <row r="279" ht="19.5" customHeight="1">
      <c r="A279" s="8"/>
      <c r="B279" s="25"/>
      <c r="C279" s="20"/>
      <c r="D279" s="30"/>
      <c r="E279" s="42" t="s">
        <v>214</v>
      </c>
      <c r="F279" s="30"/>
      <c r="G279" s="30"/>
      <c r="H279" s="30"/>
      <c r="I279" s="30"/>
      <c r="J279" s="30"/>
      <c r="K279" s="30"/>
      <c r="L279" s="30"/>
      <c r="M279" s="57"/>
      <c r="N279" s="90"/>
    </row>
    <row r="280" ht="19.5" customHeight="1">
      <c r="A280" s="8"/>
      <c r="B280" s="25"/>
      <c r="C280" s="20"/>
      <c r="D280" s="123">
        <v>160000.0</v>
      </c>
      <c r="E280" s="40" t="s">
        <v>211</v>
      </c>
      <c r="F280" s="30"/>
      <c r="G280" s="30"/>
      <c r="H280" s="30"/>
      <c r="I280" s="30"/>
      <c r="J280" s="30"/>
      <c r="K280" s="30"/>
      <c r="L280" s="30"/>
      <c r="M280" s="57"/>
      <c r="N280" s="90"/>
    </row>
    <row r="281" ht="19.5" customHeight="1">
      <c r="A281" s="8"/>
      <c r="B281" s="25"/>
      <c r="C281" s="20"/>
      <c r="D281" s="30"/>
      <c r="E281" s="17" t="s">
        <v>244</v>
      </c>
      <c r="F281" s="30"/>
      <c r="G281" s="30"/>
      <c r="H281" s="30"/>
      <c r="I281" s="30"/>
      <c r="J281" s="30"/>
      <c r="K281" s="30"/>
      <c r="L281" s="30"/>
      <c r="M281" s="57"/>
      <c r="N281" s="90"/>
    </row>
    <row r="282" ht="19.5" customHeight="1">
      <c r="A282" s="8"/>
      <c r="B282" s="25"/>
      <c r="C282" s="20"/>
      <c r="D282" s="123">
        <v>66000.0</v>
      </c>
      <c r="E282" s="125" t="s">
        <v>247</v>
      </c>
      <c r="F282" s="30"/>
      <c r="G282" s="30"/>
      <c r="H282" s="30"/>
      <c r="I282" s="30"/>
      <c r="J282" s="30"/>
      <c r="K282" s="30"/>
      <c r="L282" s="30"/>
      <c r="M282" s="57"/>
      <c r="N282" s="90"/>
    </row>
    <row r="283" ht="19.5" customHeight="1">
      <c r="A283" s="8"/>
      <c r="B283" s="25"/>
      <c r="C283" s="20"/>
      <c r="D283" s="123">
        <v>10350.0</v>
      </c>
      <c r="E283" s="126" t="s">
        <v>246</v>
      </c>
      <c r="F283" s="30"/>
      <c r="G283" s="30"/>
      <c r="H283" s="30"/>
      <c r="I283" s="30"/>
      <c r="J283" s="30"/>
      <c r="K283" s="30"/>
      <c r="L283" s="30"/>
      <c r="M283" s="57"/>
      <c r="N283" s="90"/>
    </row>
    <row r="284" ht="19.5" customHeight="1">
      <c r="A284" s="8"/>
      <c r="B284" s="25"/>
      <c r="C284" s="20"/>
      <c r="D284" s="30"/>
      <c r="E284" s="30"/>
      <c r="F284" s="30"/>
      <c r="G284" s="30"/>
      <c r="H284" s="30"/>
      <c r="I284" s="30"/>
      <c r="J284" s="30"/>
      <c r="K284" s="30"/>
      <c r="L284" s="30"/>
      <c r="M284" s="57"/>
      <c r="N284" s="90"/>
    </row>
    <row r="285" ht="19.5" customHeight="1">
      <c r="A285" s="8"/>
      <c r="B285" s="22"/>
      <c r="C285" s="23" t="s">
        <v>21</v>
      </c>
      <c r="D285" s="125">
        <v>434791.0</v>
      </c>
      <c r="E285" s="40" t="s">
        <v>131</v>
      </c>
      <c r="F285" s="79"/>
      <c r="G285" s="79"/>
      <c r="H285" s="79"/>
      <c r="I285" s="79"/>
      <c r="J285" s="79"/>
      <c r="K285" s="79"/>
      <c r="L285" s="79"/>
      <c r="M285" s="58">
        <f>D285</f>
        <v>434791</v>
      </c>
      <c r="N285" s="89"/>
    </row>
    <row r="286" ht="19.5" customHeight="1">
      <c r="A286" s="8"/>
      <c r="B286" s="22"/>
      <c r="C286" s="23"/>
      <c r="D286" s="15">
        <v>4941.0</v>
      </c>
      <c r="E286" s="42" t="s">
        <v>207</v>
      </c>
      <c r="F286" s="79"/>
      <c r="G286" s="79"/>
      <c r="H286" s="79"/>
      <c r="I286" s="79"/>
      <c r="J286" s="79"/>
      <c r="K286" s="79"/>
      <c r="L286" s="79"/>
      <c r="M286" s="57"/>
      <c r="N286" s="89"/>
    </row>
    <row r="287" ht="19.5" customHeight="1">
      <c r="A287" s="8"/>
      <c r="B287" s="22"/>
      <c r="C287" s="23"/>
      <c r="D287" s="125">
        <v>188821.0</v>
      </c>
      <c r="E287" s="40" t="s">
        <v>173</v>
      </c>
      <c r="F287" s="79"/>
      <c r="G287" s="79"/>
      <c r="H287" s="79"/>
      <c r="I287" s="79"/>
      <c r="J287" s="79"/>
      <c r="K287" s="79"/>
      <c r="L287" s="79"/>
      <c r="M287" s="57"/>
      <c r="N287" s="89"/>
    </row>
    <row r="288" ht="19.5" customHeight="1">
      <c r="A288" s="8"/>
      <c r="B288" s="22"/>
      <c r="C288" s="23"/>
      <c r="D288" s="125">
        <v>70855.0</v>
      </c>
      <c r="E288" s="42" t="s">
        <v>208</v>
      </c>
      <c r="F288" s="79"/>
      <c r="G288" s="79"/>
      <c r="H288" s="79"/>
      <c r="I288" s="79"/>
      <c r="J288" s="79"/>
      <c r="K288" s="79"/>
      <c r="L288" s="79"/>
      <c r="M288" s="57"/>
      <c r="N288" s="89"/>
    </row>
    <row r="289" ht="19.5" customHeight="1">
      <c r="A289" s="8"/>
      <c r="B289" s="22"/>
      <c r="C289" s="23"/>
      <c r="D289" s="125">
        <v>5000.0</v>
      </c>
      <c r="E289" s="40" t="s">
        <v>55</v>
      </c>
      <c r="F289" s="79"/>
      <c r="G289" s="79"/>
      <c r="H289" s="79"/>
      <c r="I289" s="79"/>
      <c r="J289" s="79"/>
      <c r="K289" s="79"/>
      <c r="L289" s="79"/>
      <c r="M289" s="57"/>
      <c r="N289" s="89"/>
    </row>
    <row r="290" ht="19.5" customHeight="1">
      <c r="A290" s="8"/>
      <c r="B290" s="22"/>
      <c r="C290" s="23"/>
      <c r="D290" s="79"/>
      <c r="E290" s="42" t="s">
        <v>65</v>
      </c>
      <c r="F290" s="79"/>
      <c r="G290" s="79"/>
      <c r="H290" s="79"/>
      <c r="I290" s="79"/>
      <c r="J290" s="79"/>
      <c r="K290" s="79"/>
      <c r="L290" s="79"/>
      <c r="M290" s="57"/>
      <c r="N290" s="89"/>
    </row>
    <row r="291" ht="19.5" customHeight="1">
      <c r="A291" s="8"/>
      <c r="B291" s="22"/>
      <c r="C291" s="23"/>
      <c r="D291" s="125">
        <v>5000.0</v>
      </c>
      <c r="E291" s="40" t="s">
        <v>56</v>
      </c>
      <c r="F291" s="79"/>
      <c r="G291" s="79"/>
      <c r="H291" s="79"/>
      <c r="I291" s="79"/>
      <c r="J291" s="79"/>
      <c r="K291" s="79"/>
      <c r="L291" s="79"/>
      <c r="M291" s="57"/>
      <c r="N291" s="89"/>
    </row>
    <row r="292" ht="19.5" customHeight="1">
      <c r="A292" s="8"/>
      <c r="B292" s="22"/>
      <c r="C292" s="23"/>
      <c r="D292" s="125">
        <v>2000.0</v>
      </c>
      <c r="E292" s="42" t="s">
        <v>57</v>
      </c>
      <c r="F292" s="79"/>
      <c r="G292" s="79"/>
      <c r="H292" s="79"/>
      <c r="I292" s="79"/>
      <c r="J292" s="79"/>
      <c r="K292" s="79"/>
      <c r="L292" s="79"/>
      <c r="M292" s="57"/>
      <c r="N292" s="89"/>
    </row>
    <row r="293" ht="19.5" customHeight="1">
      <c r="A293" s="8"/>
      <c r="B293" s="22"/>
      <c r="C293" s="23"/>
      <c r="D293" s="79"/>
      <c r="E293" s="40" t="s">
        <v>58</v>
      </c>
      <c r="F293" s="79"/>
      <c r="G293" s="79"/>
      <c r="H293" s="79"/>
      <c r="I293" s="79"/>
      <c r="J293" s="79"/>
      <c r="K293" s="79"/>
      <c r="L293" s="79"/>
      <c r="M293" s="57"/>
      <c r="N293" s="89"/>
    </row>
    <row r="294" ht="19.5" customHeight="1">
      <c r="A294" s="8"/>
      <c r="B294" s="22"/>
      <c r="C294" s="23"/>
      <c r="D294" s="79"/>
      <c r="E294" s="42" t="s">
        <v>64</v>
      </c>
      <c r="F294" s="79"/>
      <c r="G294" s="79"/>
      <c r="H294" s="79"/>
      <c r="I294" s="79"/>
      <c r="J294" s="79"/>
      <c r="K294" s="79"/>
      <c r="L294" s="79"/>
      <c r="M294" s="57"/>
      <c r="N294" s="89"/>
    </row>
    <row r="295" ht="19.5" customHeight="1">
      <c r="A295" s="8"/>
      <c r="B295" s="22"/>
      <c r="C295" s="23"/>
      <c r="D295" s="125">
        <v>3000.0</v>
      </c>
      <c r="E295" s="40" t="s">
        <v>59</v>
      </c>
      <c r="F295" s="79"/>
      <c r="G295" s="79"/>
      <c r="H295" s="79"/>
      <c r="I295" s="79"/>
      <c r="J295" s="79"/>
      <c r="K295" s="79"/>
      <c r="L295" s="79"/>
      <c r="M295" s="57"/>
      <c r="N295" s="89"/>
    </row>
    <row r="296" ht="19.5" customHeight="1">
      <c r="A296" s="8"/>
      <c r="B296" s="22"/>
      <c r="C296" s="23"/>
      <c r="D296" s="125">
        <v>5000.0</v>
      </c>
      <c r="E296" s="42" t="s">
        <v>60</v>
      </c>
      <c r="F296" s="79"/>
      <c r="G296" s="79"/>
      <c r="H296" s="79"/>
      <c r="I296" s="79"/>
      <c r="J296" s="79"/>
      <c r="K296" s="79"/>
      <c r="L296" s="79"/>
      <c r="M296" s="57"/>
      <c r="N296" s="89"/>
    </row>
    <row r="297" ht="19.5" customHeight="1">
      <c r="A297" s="8"/>
      <c r="B297" s="22"/>
      <c r="C297" s="23"/>
      <c r="D297" s="79"/>
      <c r="E297" s="40" t="s">
        <v>61</v>
      </c>
      <c r="F297" s="79"/>
      <c r="G297" s="79"/>
      <c r="H297" s="79"/>
      <c r="I297" s="79"/>
      <c r="J297" s="79"/>
      <c r="K297" s="79"/>
      <c r="L297" s="79"/>
      <c r="M297" s="57"/>
      <c r="N297" s="89"/>
    </row>
    <row r="298" ht="19.5" customHeight="1">
      <c r="A298" s="8"/>
      <c r="B298" s="22"/>
      <c r="C298" s="23"/>
      <c r="D298" s="125">
        <v>2000.0</v>
      </c>
      <c r="E298" s="42" t="s">
        <v>62</v>
      </c>
      <c r="F298" s="79"/>
      <c r="G298" s="79"/>
      <c r="H298" s="79"/>
      <c r="I298" s="79"/>
      <c r="J298" s="79"/>
      <c r="K298" s="79"/>
      <c r="L298" s="79"/>
      <c r="M298" s="57"/>
      <c r="N298" s="89"/>
    </row>
    <row r="299" ht="19.5" customHeight="1">
      <c r="A299" s="8"/>
      <c r="B299" s="22"/>
      <c r="C299" s="23"/>
      <c r="D299" s="125">
        <v>3000.0</v>
      </c>
      <c r="E299" s="40" t="s">
        <v>240</v>
      </c>
      <c r="F299" s="79"/>
      <c r="G299" s="79"/>
      <c r="H299" s="79"/>
      <c r="I299" s="79"/>
      <c r="J299" s="79"/>
      <c r="K299" s="79"/>
      <c r="L299" s="79"/>
      <c r="M299" s="57"/>
      <c r="N299" s="89"/>
    </row>
    <row r="300" ht="19.5" customHeight="1">
      <c r="A300" s="8"/>
      <c r="B300" s="22"/>
      <c r="C300" s="23"/>
      <c r="D300" s="79"/>
      <c r="E300" s="42" t="s">
        <v>242</v>
      </c>
      <c r="F300" s="79"/>
      <c r="G300" s="79"/>
      <c r="H300" s="79"/>
      <c r="I300" s="79"/>
      <c r="J300" s="79"/>
      <c r="K300" s="79"/>
      <c r="L300" s="79"/>
      <c r="M300" s="57"/>
      <c r="N300" s="89"/>
    </row>
    <row r="301" ht="19.5" customHeight="1">
      <c r="A301" s="8"/>
      <c r="B301" s="22"/>
      <c r="C301" s="23"/>
      <c r="D301" s="125">
        <v>2002.0</v>
      </c>
      <c r="E301" s="40" t="s">
        <v>139</v>
      </c>
      <c r="F301" s="79"/>
      <c r="G301" s="79"/>
      <c r="H301" s="79"/>
      <c r="I301" s="79"/>
      <c r="J301" s="79"/>
      <c r="K301" s="79"/>
      <c r="L301" s="79"/>
      <c r="M301" s="57"/>
      <c r="N301" s="89"/>
    </row>
    <row r="302" ht="19.5" customHeight="1">
      <c r="A302" s="8"/>
      <c r="B302" s="22"/>
      <c r="C302" s="23"/>
      <c r="D302" s="125">
        <v>11500.0</v>
      </c>
      <c r="E302" s="42" t="s">
        <v>144</v>
      </c>
      <c r="F302" s="79"/>
      <c r="G302" s="79"/>
      <c r="H302" s="79"/>
      <c r="I302" s="79"/>
      <c r="J302" s="79"/>
      <c r="K302" s="79"/>
      <c r="L302" s="79"/>
      <c r="M302" s="57"/>
      <c r="N302" s="89"/>
    </row>
    <row r="303" ht="19.5" customHeight="1">
      <c r="A303" s="8"/>
      <c r="B303" s="22"/>
      <c r="C303" s="23"/>
      <c r="D303" s="125">
        <v>13000.0</v>
      </c>
      <c r="E303" s="40" t="s">
        <v>146</v>
      </c>
      <c r="F303" s="79"/>
      <c r="G303" s="79"/>
      <c r="H303" s="79"/>
      <c r="I303" s="79"/>
      <c r="J303" s="79"/>
      <c r="K303" s="79"/>
      <c r="L303" s="79"/>
      <c r="M303" s="57"/>
      <c r="N303" s="89"/>
    </row>
    <row r="304" ht="19.5" customHeight="1">
      <c r="A304" s="8"/>
      <c r="B304" s="22"/>
      <c r="C304" s="23"/>
      <c r="D304" s="15">
        <v>374.0</v>
      </c>
      <c r="E304" s="42" t="s">
        <v>209</v>
      </c>
      <c r="F304" s="79"/>
      <c r="G304" s="79"/>
      <c r="H304" s="79"/>
      <c r="I304" s="79"/>
      <c r="J304" s="79"/>
      <c r="K304" s="79"/>
      <c r="L304" s="79"/>
      <c r="M304" s="57"/>
      <c r="N304" s="89"/>
    </row>
    <row r="305" ht="19.5" customHeight="1">
      <c r="A305" s="8"/>
      <c r="B305" s="22"/>
      <c r="C305" s="23"/>
      <c r="D305" s="15">
        <v>305.0</v>
      </c>
      <c r="E305" s="40" t="s">
        <v>210</v>
      </c>
      <c r="F305" s="79"/>
      <c r="G305" s="79"/>
      <c r="H305" s="79"/>
      <c r="I305" s="79"/>
      <c r="J305" s="79"/>
      <c r="K305" s="79"/>
      <c r="L305" s="79"/>
      <c r="M305" s="57"/>
      <c r="N305" s="89"/>
    </row>
    <row r="306" ht="19.5" customHeight="1">
      <c r="A306" s="8"/>
      <c r="B306" s="22"/>
      <c r="C306" s="23"/>
      <c r="D306" s="125">
        <v>50000.0</v>
      </c>
      <c r="E306" s="42" t="s">
        <v>145</v>
      </c>
      <c r="F306" s="79"/>
      <c r="G306" s="79"/>
      <c r="H306" s="79"/>
      <c r="I306" s="79"/>
      <c r="J306" s="79"/>
      <c r="K306" s="79"/>
      <c r="L306" s="79"/>
      <c r="M306" s="57"/>
      <c r="N306" s="89"/>
    </row>
    <row r="307" ht="19.5" customHeight="1">
      <c r="A307" s="8"/>
      <c r="B307" s="22"/>
      <c r="C307" s="23"/>
      <c r="D307" s="79"/>
      <c r="E307" s="40" t="s">
        <v>214</v>
      </c>
      <c r="F307" s="79"/>
      <c r="G307" s="79"/>
      <c r="H307" s="79"/>
      <c r="I307" s="79"/>
      <c r="J307" s="79"/>
      <c r="K307" s="79"/>
      <c r="L307" s="79"/>
      <c r="M307" s="57"/>
      <c r="N307" s="89"/>
    </row>
    <row r="308" ht="19.5" customHeight="1">
      <c r="A308" s="8"/>
      <c r="B308" s="22"/>
      <c r="C308" s="23"/>
      <c r="D308" s="125">
        <v>130000.0</v>
      </c>
      <c r="E308" s="42" t="s">
        <v>211</v>
      </c>
      <c r="F308" s="79"/>
      <c r="G308" s="79"/>
      <c r="H308" s="79"/>
      <c r="I308" s="79"/>
      <c r="J308" s="79"/>
      <c r="K308" s="79"/>
      <c r="L308" s="79"/>
      <c r="M308" s="57"/>
      <c r="N308" s="89"/>
    </row>
    <row r="309" ht="19.5" customHeight="1">
      <c r="A309" s="8"/>
      <c r="B309" s="22"/>
      <c r="C309" s="23"/>
      <c r="D309" s="79"/>
      <c r="E309" s="124" t="s">
        <v>244</v>
      </c>
      <c r="F309" s="79"/>
      <c r="G309" s="79"/>
      <c r="H309" s="79"/>
      <c r="I309" s="79"/>
      <c r="J309" s="79"/>
      <c r="K309" s="79"/>
      <c r="L309" s="79"/>
      <c r="M309" s="57"/>
      <c r="N309" s="89"/>
    </row>
    <row r="310" ht="19.5" customHeight="1">
      <c r="A310" s="8"/>
      <c r="B310" s="22"/>
      <c r="C310" s="23"/>
      <c r="D310" s="125">
        <v>66000.0</v>
      </c>
      <c r="E310" s="123" t="s">
        <v>248</v>
      </c>
      <c r="F310" s="79"/>
      <c r="G310" s="79"/>
      <c r="H310" s="79"/>
      <c r="I310" s="79"/>
      <c r="J310" s="79"/>
      <c r="K310" s="79"/>
      <c r="L310" s="79"/>
      <c r="M310" s="57"/>
      <c r="N310" s="89"/>
    </row>
    <row r="311" ht="19.5" customHeight="1">
      <c r="A311" s="8"/>
      <c r="B311" s="22"/>
      <c r="C311" s="23"/>
      <c r="D311" s="125">
        <v>10000.0</v>
      </c>
      <c r="E311" s="15" t="s">
        <v>249</v>
      </c>
      <c r="F311" s="79"/>
      <c r="G311" s="79"/>
      <c r="H311" s="79"/>
      <c r="I311" s="79"/>
      <c r="J311" s="79"/>
      <c r="K311" s="79"/>
      <c r="L311" s="79"/>
      <c r="M311" s="57"/>
      <c r="N311" s="89"/>
    </row>
    <row r="312" ht="19.5" customHeight="1">
      <c r="A312" s="8"/>
      <c r="B312" s="22"/>
      <c r="C312" s="23"/>
      <c r="D312" s="79"/>
      <c r="E312" s="79"/>
      <c r="F312" s="79"/>
      <c r="G312" s="79"/>
      <c r="H312" s="79"/>
      <c r="I312" s="79"/>
      <c r="J312" s="79"/>
      <c r="K312" s="79"/>
      <c r="L312" s="79"/>
      <c r="M312" s="57"/>
      <c r="N312" s="89"/>
    </row>
    <row r="313" ht="19.5" customHeight="1">
      <c r="A313" s="8"/>
      <c r="B313" s="22"/>
      <c r="C313" s="23"/>
      <c r="D313" s="79"/>
      <c r="E313" s="79"/>
      <c r="F313" s="79"/>
      <c r="G313" s="79"/>
      <c r="H313" s="79"/>
      <c r="I313" s="79"/>
      <c r="J313" s="79"/>
      <c r="K313" s="79"/>
      <c r="L313" s="79"/>
      <c r="M313" s="57"/>
      <c r="N313" s="89"/>
    </row>
    <row r="314" ht="19.5" customHeight="1">
      <c r="A314" s="8"/>
      <c r="B314" s="22"/>
      <c r="C314" s="23"/>
      <c r="D314" s="79"/>
      <c r="E314" s="79"/>
      <c r="F314" s="79"/>
      <c r="G314" s="79"/>
      <c r="H314" s="79"/>
      <c r="I314" s="79"/>
      <c r="J314" s="79"/>
      <c r="K314" s="79"/>
      <c r="L314" s="79"/>
      <c r="M314" s="57"/>
      <c r="N314" s="89"/>
    </row>
    <row r="315" ht="19.5" customHeight="1">
      <c r="A315" s="8"/>
      <c r="B315" s="22"/>
      <c r="C315" s="23"/>
      <c r="D315" s="79"/>
      <c r="E315" s="79"/>
      <c r="F315" s="79"/>
      <c r="G315" s="79"/>
      <c r="H315" s="79"/>
      <c r="I315" s="79"/>
      <c r="J315" s="79"/>
      <c r="K315" s="79"/>
      <c r="L315" s="79"/>
      <c r="M315" s="57"/>
      <c r="N315" s="89"/>
    </row>
    <row r="316" ht="19.5" customHeight="1">
      <c r="A316" s="8"/>
      <c r="B316" s="25"/>
      <c r="C316" s="20" t="s">
        <v>22</v>
      </c>
      <c r="D316" s="123">
        <v>449193.0</v>
      </c>
      <c r="E316" s="40" t="s">
        <v>131</v>
      </c>
      <c r="F316" s="86"/>
      <c r="G316" s="30"/>
      <c r="H316" s="30"/>
      <c r="I316" s="30"/>
      <c r="J316" s="30"/>
      <c r="K316" s="30"/>
      <c r="L316" s="30"/>
      <c r="M316" s="58">
        <f>D316</f>
        <v>449193</v>
      </c>
      <c r="N316" s="90"/>
    </row>
    <row r="317" ht="19.5" customHeight="1">
      <c r="A317" s="8"/>
      <c r="B317" s="25"/>
      <c r="C317" s="20"/>
      <c r="D317" s="123">
        <v>4942.0</v>
      </c>
      <c r="E317" s="42" t="s">
        <v>207</v>
      </c>
      <c r="F317" s="86"/>
      <c r="G317" s="30"/>
      <c r="H317" s="30"/>
      <c r="I317" s="30"/>
      <c r="J317" s="30"/>
      <c r="K317" s="30"/>
      <c r="L317" s="30"/>
      <c r="M317" s="57"/>
      <c r="N317" s="90"/>
    </row>
    <row r="318" ht="19.5" customHeight="1">
      <c r="A318" s="8"/>
      <c r="B318" s="25"/>
      <c r="C318" s="20"/>
      <c r="D318" s="123">
        <v>150322.0</v>
      </c>
      <c r="E318" s="40" t="s">
        <v>173</v>
      </c>
      <c r="F318" s="86"/>
      <c r="G318" s="30"/>
      <c r="H318" s="30"/>
      <c r="I318" s="30"/>
      <c r="J318" s="30"/>
      <c r="K318" s="30"/>
      <c r="L318" s="30"/>
      <c r="M318" s="57"/>
      <c r="N318" s="90"/>
    </row>
    <row r="319" ht="19.5" customHeight="1">
      <c r="A319" s="8"/>
      <c r="B319" s="25"/>
      <c r="C319" s="20"/>
      <c r="D319" s="123">
        <v>164284.0</v>
      </c>
      <c r="E319" s="42" t="s">
        <v>208</v>
      </c>
      <c r="F319" s="86"/>
      <c r="G319" s="30"/>
      <c r="H319" s="30"/>
      <c r="I319" s="30"/>
      <c r="J319" s="30"/>
      <c r="K319" s="30"/>
      <c r="L319" s="30"/>
      <c r="M319" s="57"/>
      <c r="N319" s="90"/>
    </row>
    <row r="320" ht="19.5" customHeight="1">
      <c r="A320" s="8"/>
      <c r="B320" s="25"/>
      <c r="C320" s="20"/>
      <c r="D320" s="123">
        <v>5000.0</v>
      </c>
      <c r="E320" s="40" t="s">
        <v>55</v>
      </c>
      <c r="F320" s="86"/>
      <c r="G320" s="30"/>
      <c r="H320" s="30"/>
      <c r="I320" s="30"/>
      <c r="J320" s="30"/>
      <c r="K320" s="30"/>
      <c r="L320" s="30"/>
      <c r="M320" s="57"/>
      <c r="N320" s="90"/>
    </row>
    <row r="321" ht="19.5" customHeight="1">
      <c r="A321" s="8"/>
      <c r="B321" s="25"/>
      <c r="C321" s="20"/>
      <c r="D321" s="30"/>
      <c r="E321" s="42" t="s">
        <v>65</v>
      </c>
      <c r="F321" s="86"/>
      <c r="G321" s="30"/>
      <c r="H321" s="30"/>
      <c r="I321" s="30"/>
      <c r="J321" s="30"/>
      <c r="K321" s="30"/>
      <c r="L321" s="30"/>
      <c r="M321" s="57"/>
      <c r="N321" s="90"/>
    </row>
    <row r="322" ht="19.5" customHeight="1">
      <c r="A322" s="8"/>
      <c r="B322" s="25"/>
      <c r="C322" s="20"/>
      <c r="D322" s="123">
        <v>5000.0</v>
      </c>
      <c r="E322" s="40" t="s">
        <v>56</v>
      </c>
      <c r="F322" s="86"/>
      <c r="G322" s="30"/>
      <c r="H322" s="30"/>
      <c r="I322" s="30"/>
      <c r="J322" s="30"/>
      <c r="K322" s="30"/>
      <c r="L322" s="30"/>
      <c r="M322" s="57"/>
      <c r="N322" s="90"/>
    </row>
    <row r="323" ht="19.5" customHeight="1">
      <c r="A323" s="8"/>
      <c r="B323" s="25"/>
      <c r="C323" s="20"/>
      <c r="D323" s="123">
        <v>2000.0</v>
      </c>
      <c r="E323" s="42" t="s">
        <v>57</v>
      </c>
      <c r="F323" s="86"/>
      <c r="G323" s="30"/>
      <c r="H323" s="30"/>
      <c r="I323" s="30"/>
      <c r="J323" s="30"/>
      <c r="K323" s="30"/>
      <c r="L323" s="30"/>
      <c r="M323" s="57"/>
      <c r="N323" s="90"/>
    </row>
    <row r="324" ht="19.5" customHeight="1">
      <c r="A324" s="8"/>
      <c r="B324" s="25"/>
      <c r="C324" s="20"/>
      <c r="D324" s="123">
        <v>5000.0</v>
      </c>
      <c r="E324" s="40" t="s">
        <v>58</v>
      </c>
      <c r="F324" s="86"/>
      <c r="G324" s="30"/>
      <c r="H324" s="30"/>
      <c r="I324" s="30"/>
      <c r="J324" s="30"/>
      <c r="K324" s="30"/>
      <c r="L324" s="30"/>
      <c r="M324" s="57"/>
      <c r="N324" s="90"/>
    </row>
    <row r="325" ht="19.5" customHeight="1">
      <c r="A325" s="8"/>
      <c r="B325" s="25"/>
      <c r="C325" s="20"/>
      <c r="D325" s="30"/>
      <c r="E325" s="42" t="s">
        <v>64</v>
      </c>
      <c r="F325" s="86"/>
      <c r="G325" s="30"/>
      <c r="H325" s="30"/>
      <c r="I325" s="30"/>
      <c r="J325" s="30"/>
      <c r="K325" s="30"/>
      <c r="L325" s="30"/>
      <c r="M325" s="57"/>
      <c r="N325" s="90"/>
    </row>
    <row r="326" ht="19.5" customHeight="1">
      <c r="A326" s="8"/>
      <c r="B326" s="25"/>
      <c r="C326" s="20"/>
      <c r="D326" s="123">
        <v>5000.0</v>
      </c>
      <c r="E326" s="40" t="s">
        <v>59</v>
      </c>
      <c r="F326" s="86"/>
      <c r="G326" s="30"/>
      <c r="H326" s="30"/>
      <c r="I326" s="30"/>
      <c r="J326" s="30"/>
      <c r="K326" s="30"/>
      <c r="L326" s="30"/>
      <c r="M326" s="57"/>
      <c r="N326" s="90"/>
    </row>
    <row r="327" ht="19.5" customHeight="1">
      <c r="A327" s="8"/>
      <c r="B327" s="25"/>
      <c r="C327" s="20"/>
      <c r="D327" s="30"/>
      <c r="E327" s="42" t="s">
        <v>60</v>
      </c>
      <c r="F327" s="86"/>
      <c r="G327" s="30"/>
      <c r="H327" s="30"/>
      <c r="I327" s="30"/>
      <c r="J327" s="30"/>
      <c r="K327" s="30"/>
      <c r="L327" s="30"/>
      <c r="M327" s="57"/>
      <c r="N327" s="90"/>
    </row>
    <row r="328" ht="19.5" customHeight="1">
      <c r="A328" s="8"/>
      <c r="B328" s="25"/>
      <c r="C328" s="20"/>
      <c r="D328" s="123">
        <v>5000.0</v>
      </c>
      <c r="E328" s="40" t="s">
        <v>61</v>
      </c>
      <c r="F328" s="86"/>
      <c r="G328" s="30"/>
      <c r="H328" s="30"/>
      <c r="I328" s="30"/>
      <c r="J328" s="30"/>
      <c r="K328" s="30"/>
      <c r="L328" s="30"/>
      <c r="M328" s="57"/>
      <c r="N328" s="90"/>
    </row>
    <row r="329" ht="19.5" customHeight="1">
      <c r="A329" s="8"/>
      <c r="B329" s="25"/>
      <c r="C329" s="20"/>
      <c r="D329" s="123">
        <v>2000.0</v>
      </c>
      <c r="E329" s="42" t="s">
        <v>62</v>
      </c>
      <c r="F329" s="86"/>
      <c r="G329" s="30"/>
      <c r="H329" s="30"/>
      <c r="I329" s="30"/>
      <c r="J329" s="30"/>
      <c r="K329" s="30"/>
      <c r="L329" s="30"/>
      <c r="M329" s="57"/>
      <c r="N329" s="90"/>
    </row>
    <row r="330" ht="19.5" customHeight="1">
      <c r="A330" s="8"/>
      <c r="B330" s="25"/>
      <c r="C330" s="20"/>
      <c r="D330" s="123">
        <v>3000.0</v>
      </c>
      <c r="E330" s="50" t="s">
        <v>240</v>
      </c>
      <c r="F330" s="86"/>
      <c r="G330" s="30"/>
      <c r="H330" s="30"/>
      <c r="I330" s="30"/>
      <c r="J330" s="30"/>
      <c r="K330" s="30"/>
      <c r="L330" s="30"/>
      <c r="M330" s="57"/>
      <c r="N330" s="90"/>
    </row>
    <row r="331" ht="19.5" customHeight="1">
      <c r="A331" s="8"/>
      <c r="B331" s="25"/>
      <c r="C331" s="20"/>
      <c r="D331" s="30"/>
      <c r="E331" s="50" t="s">
        <v>242</v>
      </c>
      <c r="F331" s="86"/>
      <c r="G331" s="30"/>
      <c r="H331" s="30"/>
      <c r="I331" s="30"/>
      <c r="J331" s="30"/>
      <c r="K331" s="30"/>
      <c r="L331" s="30"/>
      <c r="M331" s="57"/>
      <c r="N331" s="90"/>
    </row>
    <row r="332" ht="19.5" customHeight="1">
      <c r="A332" s="8"/>
      <c r="B332" s="25"/>
      <c r="C332" s="20"/>
      <c r="D332" s="123">
        <v>2700.0</v>
      </c>
      <c r="E332" s="42" t="s">
        <v>139</v>
      </c>
      <c r="F332" s="86"/>
      <c r="G332" s="30"/>
      <c r="H332" s="30"/>
      <c r="I332" s="30"/>
      <c r="J332" s="30"/>
      <c r="K332" s="30"/>
      <c r="L332" s="30"/>
      <c r="M332" s="57"/>
      <c r="N332" s="90"/>
    </row>
    <row r="333" ht="19.5" customHeight="1">
      <c r="A333" s="8"/>
      <c r="B333" s="25"/>
      <c r="C333" s="20"/>
      <c r="D333" s="123">
        <v>19700.0</v>
      </c>
      <c r="E333" s="40" t="s">
        <v>144</v>
      </c>
      <c r="F333" s="86"/>
      <c r="G333" s="30"/>
      <c r="H333" s="30"/>
      <c r="I333" s="30"/>
      <c r="J333" s="30"/>
      <c r="K333" s="30"/>
      <c r="L333" s="30"/>
      <c r="M333" s="57"/>
      <c r="N333" s="90"/>
    </row>
    <row r="334" ht="19.5" customHeight="1">
      <c r="A334" s="8"/>
      <c r="B334" s="25"/>
      <c r="C334" s="20"/>
      <c r="D334" s="123">
        <v>15600.0</v>
      </c>
      <c r="E334" s="42" t="s">
        <v>146</v>
      </c>
      <c r="F334" s="86"/>
      <c r="G334" s="30"/>
      <c r="H334" s="30"/>
      <c r="I334" s="30"/>
      <c r="J334" s="30"/>
      <c r="K334" s="30"/>
      <c r="L334" s="30"/>
      <c r="M334" s="57"/>
      <c r="N334" s="90"/>
    </row>
    <row r="335" ht="19.5" customHeight="1">
      <c r="A335" s="8"/>
      <c r="B335" s="25"/>
      <c r="C335" s="20"/>
      <c r="D335" s="126">
        <v>400.0</v>
      </c>
      <c r="E335" s="40" t="s">
        <v>209</v>
      </c>
      <c r="F335" s="86"/>
      <c r="G335" s="30"/>
      <c r="H335" s="30"/>
      <c r="I335" s="30"/>
      <c r="J335" s="30"/>
      <c r="K335" s="30"/>
      <c r="L335" s="30"/>
      <c r="M335" s="57"/>
      <c r="N335" s="90"/>
    </row>
    <row r="336" ht="19.5" customHeight="1">
      <c r="A336" s="8"/>
      <c r="B336" s="25"/>
      <c r="C336" s="20"/>
      <c r="D336" s="123">
        <v>4270.0</v>
      </c>
      <c r="E336" s="42" t="s">
        <v>210</v>
      </c>
      <c r="F336" s="86"/>
      <c r="G336" s="30"/>
      <c r="H336" s="30"/>
      <c r="I336" s="30"/>
      <c r="J336" s="30"/>
      <c r="K336" s="30"/>
      <c r="L336" s="30"/>
      <c r="M336" s="57"/>
      <c r="N336" s="90"/>
    </row>
    <row r="337" ht="19.5" customHeight="1">
      <c r="A337" s="8"/>
      <c r="B337" s="25"/>
      <c r="C337" s="20"/>
      <c r="D337" s="123">
        <v>30000.0</v>
      </c>
      <c r="E337" s="40" t="s">
        <v>145</v>
      </c>
      <c r="F337" s="39"/>
      <c r="G337" s="30"/>
      <c r="H337" s="30"/>
      <c r="I337" s="30"/>
      <c r="J337" s="30"/>
      <c r="K337" s="30"/>
      <c r="L337" s="30"/>
      <c r="M337" s="57"/>
      <c r="N337" s="90"/>
    </row>
    <row r="338" ht="19.5" customHeight="1">
      <c r="A338" s="8"/>
      <c r="B338" s="25"/>
      <c r="C338" s="20"/>
      <c r="D338" s="30"/>
      <c r="E338" s="42" t="s">
        <v>214</v>
      </c>
      <c r="F338" s="86"/>
      <c r="G338" s="30"/>
      <c r="H338" s="30"/>
      <c r="I338" s="30"/>
      <c r="J338" s="30"/>
      <c r="K338" s="30"/>
      <c r="L338" s="30"/>
      <c r="M338" s="57"/>
      <c r="N338" s="90"/>
    </row>
    <row r="339" ht="19.5" customHeight="1">
      <c r="A339" s="8"/>
      <c r="B339" s="25"/>
      <c r="C339" s="20"/>
      <c r="D339" s="123">
        <v>100000.0</v>
      </c>
      <c r="E339" s="40" t="s">
        <v>211</v>
      </c>
      <c r="F339" s="39"/>
      <c r="G339" s="30"/>
      <c r="H339" s="30"/>
      <c r="I339" s="30"/>
      <c r="J339" s="30"/>
      <c r="K339" s="30"/>
      <c r="L339" s="30"/>
      <c r="M339" s="57"/>
      <c r="N339" s="90"/>
    </row>
    <row r="340" ht="19.5" customHeight="1">
      <c r="A340" s="8"/>
      <c r="B340" s="25"/>
      <c r="C340" s="20"/>
      <c r="D340" s="30"/>
      <c r="E340" s="112" t="s">
        <v>244</v>
      </c>
      <c r="F340" s="86"/>
      <c r="G340" s="30"/>
      <c r="H340" s="30"/>
      <c r="I340" s="30"/>
      <c r="J340" s="30"/>
      <c r="K340" s="30"/>
      <c r="L340" s="30"/>
      <c r="M340" s="57"/>
      <c r="N340" s="90"/>
    </row>
    <row r="341" ht="19.5" customHeight="1">
      <c r="A341" s="8"/>
      <c r="B341" s="25"/>
      <c r="C341" s="20"/>
      <c r="D341" s="30"/>
      <c r="E341" s="112" t="s">
        <v>212</v>
      </c>
      <c r="F341" s="86"/>
      <c r="G341" s="30"/>
      <c r="H341" s="30"/>
      <c r="I341" s="30"/>
      <c r="J341" s="30"/>
      <c r="K341" s="30"/>
      <c r="L341" s="30"/>
      <c r="M341" s="57"/>
      <c r="N341" s="90"/>
    </row>
    <row r="342" ht="19.5" customHeight="1">
      <c r="A342" s="8"/>
      <c r="B342" s="25"/>
      <c r="C342" s="20"/>
      <c r="D342" s="30"/>
      <c r="E342" s="30"/>
      <c r="F342" s="30"/>
      <c r="G342" s="30"/>
      <c r="H342" s="30"/>
      <c r="I342" s="30"/>
      <c r="J342" s="30"/>
      <c r="K342" s="30"/>
      <c r="L342" s="30"/>
      <c r="M342" s="57"/>
      <c r="N342" s="90"/>
    </row>
    <row r="343" ht="19.5" customHeight="1">
      <c r="A343" s="8"/>
      <c r="B343" s="25"/>
      <c r="C343" s="20"/>
      <c r="D343" s="30"/>
      <c r="E343" s="30"/>
      <c r="F343" s="30"/>
      <c r="G343" s="30"/>
      <c r="H343" s="30"/>
      <c r="I343" s="30"/>
      <c r="J343" s="30"/>
      <c r="K343" s="30"/>
      <c r="L343" s="30"/>
      <c r="M343" s="57"/>
      <c r="N343" s="90"/>
    </row>
    <row r="344" ht="19.5" customHeight="1">
      <c r="A344" s="8"/>
      <c r="B344" s="22"/>
      <c r="C344" s="23" t="s">
        <v>23</v>
      </c>
      <c r="D344" s="125">
        <v>632356.0</v>
      </c>
      <c r="E344" s="40" t="s">
        <v>131</v>
      </c>
      <c r="F344" s="86"/>
      <c r="G344" s="79"/>
      <c r="H344" s="79"/>
      <c r="I344" s="79"/>
      <c r="J344" s="79"/>
      <c r="K344" s="79"/>
      <c r="L344" s="79"/>
      <c r="M344" s="58">
        <f t="shared" ref="M344:M345" si="26">D344</f>
        <v>632356</v>
      </c>
      <c r="N344" s="89"/>
    </row>
    <row r="345" ht="19.5" customHeight="1">
      <c r="A345" s="8"/>
      <c r="B345" s="16"/>
      <c r="C345" s="30"/>
      <c r="D345" s="41">
        <v>5393.0</v>
      </c>
      <c r="E345" s="42" t="s">
        <v>207</v>
      </c>
      <c r="F345" s="86"/>
      <c r="G345" s="86"/>
      <c r="H345" s="86"/>
      <c r="I345" s="86"/>
      <c r="J345" s="86"/>
      <c r="K345" s="86"/>
      <c r="L345" s="86"/>
      <c r="M345" s="58">
        <f t="shared" si="26"/>
        <v>5393</v>
      </c>
      <c r="N345" s="86"/>
    </row>
    <row r="346" ht="19.5" customHeight="1">
      <c r="A346" s="8"/>
      <c r="B346" s="16"/>
      <c r="C346" s="30"/>
      <c r="D346" s="41">
        <v>17366.0</v>
      </c>
      <c r="E346" s="40" t="s">
        <v>173</v>
      </c>
      <c r="F346" s="86"/>
      <c r="G346" s="86"/>
      <c r="H346" s="86"/>
      <c r="I346" s="86"/>
      <c r="J346" s="86"/>
      <c r="K346" s="86"/>
      <c r="L346" s="86"/>
      <c r="M346" s="57"/>
      <c r="N346" s="86"/>
    </row>
    <row r="347" ht="19.5" customHeight="1">
      <c r="A347" s="8"/>
      <c r="B347" s="16"/>
      <c r="C347" s="30"/>
      <c r="D347" s="41">
        <v>357137.0</v>
      </c>
      <c r="E347" s="42" t="s">
        <v>208</v>
      </c>
      <c r="F347" s="86"/>
      <c r="G347" s="86"/>
      <c r="H347" s="86"/>
      <c r="I347" s="86"/>
      <c r="J347" s="86"/>
      <c r="K347" s="86"/>
      <c r="L347" s="86"/>
      <c r="M347" s="57"/>
      <c r="N347" s="86"/>
    </row>
    <row r="348" ht="19.5" customHeight="1">
      <c r="A348" s="8"/>
      <c r="B348" s="16"/>
      <c r="C348" s="30"/>
      <c r="D348" s="41">
        <v>10000.0</v>
      </c>
      <c r="E348" s="40" t="s">
        <v>55</v>
      </c>
      <c r="F348" s="86"/>
      <c r="G348" s="86"/>
      <c r="H348" s="86"/>
      <c r="I348" s="86"/>
      <c r="J348" s="86"/>
      <c r="K348" s="86"/>
      <c r="L348" s="86"/>
      <c r="M348" s="57"/>
      <c r="N348" s="86"/>
    </row>
    <row r="349" ht="19.5" customHeight="1">
      <c r="A349" s="8"/>
      <c r="B349" s="16"/>
      <c r="C349" s="30"/>
      <c r="D349" s="86"/>
      <c r="E349" s="42" t="s">
        <v>65</v>
      </c>
      <c r="F349" s="86"/>
      <c r="G349" s="86"/>
      <c r="H349" s="86"/>
      <c r="I349" s="86"/>
      <c r="J349" s="86"/>
      <c r="K349" s="86"/>
      <c r="L349" s="86"/>
      <c r="M349" s="57"/>
      <c r="N349" s="86"/>
    </row>
    <row r="350" ht="19.5" customHeight="1">
      <c r="A350" s="8"/>
      <c r="B350" s="16"/>
      <c r="C350" s="30"/>
      <c r="D350" s="41">
        <v>5000.0</v>
      </c>
      <c r="E350" s="40" t="s">
        <v>56</v>
      </c>
      <c r="F350" s="86"/>
      <c r="G350" s="86"/>
      <c r="H350" s="86"/>
      <c r="I350" s="86"/>
      <c r="J350" s="86"/>
      <c r="K350" s="86"/>
      <c r="L350" s="86"/>
      <c r="M350" s="57"/>
      <c r="N350" s="86"/>
    </row>
    <row r="351" ht="19.5" customHeight="1">
      <c r="A351" s="8"/>
      <c r="B351" s="16"/>
      <c r="C351" s="30"/>
      <c r="D351" s="41">
        <v>3000.0</v>
      </c>
      <c r="E351" s="42" t="s">
        <v>57</v>
      </c>
      <c r="F351" s="86"/>
      <c r="G351" s="86"/>
      <c r="H351" s="86"/>
      <c r="I351" s="86"/>
      <c r="J351" s="86"/>
      <c r="K351" s="86"/>
      <c r="L351" s="86"/>
      <c r="M351" s="57"/>
      <c r="N351" s="86"/>
    </row>
    <row r="352" ht="19.5" customHeight="1">
      <c r="A352" s="8"/>
      <c r="B352" s="16"/>
      <c r="C352" s="30"/>
      <c r="D352" s="86"/>
      <c r="E352" s="40" t="s">
        <v>58</v>
      </c>
      <c r="F352" s="86"/>
      <c r="G352" s="86"/>
      <c r="H352" s="86"/>
      <c r="I352" s="86"/>
      <c r="J352" s="86"/>
      <c r="K352" s="86"/>
      <c r="L352" s="86"/>
      <c r="M352" s="57"/>
      <c r="N352" s="86"/>
    </row>
    <row r="353" ht="19.5" customHeight="1">
      <c r="A353" s="8"/>
      <c r="B353" s="16"/>
      <c r="C353" s="30"/>
      <c r="D353" s="86"/>
      <c r="E353" s="42" t="s">
        <v>64</v>
      </c>
      <c r="F353" s="86"/>
      <c r="G353" s="86"/>
      <c r="H353" s="86"/>
      <c r="I353" s="86"/>
      <c r="J353" s="86"/>
      <c r="K353" s="86"/>
      <c r="L353" s="86"/>
      <c r="M353" s="57"/>
      <c r="N353" s="86"/>
    </row>
    <row r="354" ht="19.5" customHeight="1">
      <c r="A354" s="8"/>
      <c r="B354" s="16"/>
      <c r="C354" s="30"/>
      <c r="D354" s="86"/>
      <c r="E354" s="40" t="s">
        <v>59</v>
      </c>
      <c r="F354" s="86"/>
      <c r="G354" s="86"/>
      <c r="H354" s="86"/>
      <c r="I354" s="86"/>
      <c r="J354" s="86"/>
      <c r="K354" s="86"/>
      <c r="L354" s="86"/>
      <c r="M354" s="57"/>
      <c r="N354" s="86"/>
    </row>
    <row r="355" ht="19.5" customHeight="1">
      <c r="A355" s="8"/>
      <c r="B355" s="16"/>
      <c r="C355" s="30"/>
      <c r="D355" s="41">
        <v>5000.0</v>
      </c>
      <c r="E355" s="42" t="s">
        <v>60</v>
      </c>
      <c r="F355" s="86"/>
      <c r="G355" s="86"/>
      <c r="H355" s="86"/>
      <c r="I355" s="86"/>
      <c r="J355" s="86"/>
      <c r="K355" s="86"/>
      <c r="L355" s="86"/>
      <c r="M355" s="57"/>
      <c r="N355" s="86"/>
    </row>
    <row r="356" ht="19.5" customHeight="1">
      <c r="A356" s="8"/>
      <c r="B356" s="16"/>
      <c r="C356" s="30"/>
      <c r="D356" s="86"/>
      <c r="E356" s="40" t="s">
        <v>61</v>
      </c>
      <c r="F356" s="86"/>
      <c r="G356" s="86"/>
      <c r="H356" s="86"/>
      <c r="I356" s="86"/>
      <c r="J356" s="86"/>
      <c r="K356" s="86"/>
      <c r="L356" s="86"/>
      <c r="M356" s="57"/>
      <c r="N356" s="86"/>
    </row>
    <row r="357" ht="19.5" customHeight="1">
      <c r="A357" s="8"/>
      <c r="B357" s="16"/>
      <c r="C357" s="30"/>
      <c r="D357" s="86"/>
      <c r="E357" s="42" t="s">
        <v>62</v>
      </c>
      <c r="F357" s="86"/>
      <c r="G357" s="86"/>
      <c r="H357" s="86"/>
      <c r="I357" s="86"/>
      <c r="J357" s="86"/>
      <c r="K357" s="86"/>
      <c r="L357" s="86"/>
      <c r="M357" s="57"/>
      <c r="N357" s="86"/>
    </row>
    <row r="358" ht="19.5" customHeight="1">
      <c r="A358" s="8"/>
      <c r="B358" s="16"/>
      <c r="C358" s="30"/>
      <c r="D358" s="41">
        <v>3000.0</v>
      </c>
      <c r="E358" s="50" t="s">
        <v>240</v>
      </c>
      <c r="F358" s="86"/>
      <c r="G358" s="86"/>
      <c r="H358" s="86"/>
      <c r="I358" s="86"/>
      <c r="J358" s="86"/>
      <c r="K358" s="86"/>
      <c r="L358" s="86"/>
      <c r="M358" s="57"/>
      <c r="N358" s="86"/>
    </row>
    <row r="359" ht="19.5" customHeight="1">
      <c r="A359" s="8"/>
      <c r="B359" s="16"/>
      <c r="C359" s="30"/>
      <c r="D359" s="41">
        <v>80000.0</v>
      </c>
      <c r="E359" s="50" t="s">
        <v>242</v>
      </c>
      <c r="F359" s="86"/>
      <c r="G359" s="86"/>
      <c r="H359" s="86"/>
      <c r="I359" s="86"/>
      <c r="J359" s="86"/>
      <c r="K359" s="86"/>
      <c r="L359" s="86"/>
      <c r="M359" s="57"/>
      <c r="N359" s="86"/>
    </row>
    <row r="360" ht="19.5" customHeight="1">
      <c r="A360" s="8"/>
      <c r="B360" s="16"/>
      <c r="C360" s="30"/>
      <c r="D360" s="41">
        <v>2600.0</v>
      </c>
      <c r="E360" s="42" t="s">
        <v>139</v>
      </c>
      <c r="F360" s="86"/>
      <c r="G360" s="86"/>
      <c r="H360" s="86"/>
      <c r="I360" s="86"/>
      <c r="J360" s="86"/>
      <c r="K360" s="86"/>
      <c r="L360" s="86"/>
      <c r="M360" s="57"/>
      <c r="N360" s="86"/>
    </row>
    <row r="361" ht="19.5" customHeight="1">
      <c r="A361" s="8"/>
      <c r="B361" s="16"/>
      <c r="C361" s="30"/>
      <c r="D361" s="41">
        <v>21000.0</v>
      </c>
      <c r="E361" s="40" t="s">
        <v>144</v>
      </c>
      <c r="F361" s="86"/>
      <c r="G361" s="86"/>
      <c r="H361" s="86"/>
      <c r="I361" s="86"/>
      <c r="J361" s="86"/>
      <c r="K361" s="86"/>
      <c r="L361" s="86"/>
      <c r="M361" s="57"/>
      <c r="N361" s="86"/>
    </row>
    <row r="362" ht="19.5" customHeight="1">
      <c r="A362" s="8"/>
      <c r="B362" s="16"/>
      <c r="C362" s="30"/>
      <c r="D362" s="41">
        <v>17050.0</v>
      </c>
      <c r="E362" s="42" t="s">
        <v>146</v>
      </c>
      <c r="F362" s="86"/>
      <c r="G362" s="86"/>
      <c r="H362" s="86"/>
      <c r="I362" s="86"/>
      <c r="J362" s="86"/>
      <c r="K362" s="86"/>
      <c r="L362" s="86"/>
      <c r="M362" s="57"/>
      <c r="N362" s="86"/>
    </row>
    <row r="363" ht="19.5" customHeight="1">
      <c r="A363" s="8"/>
      <c r="B363" s="16"/>
      <c r="C363" s="30"/>
      <c r="D363" s="41">
        <v>400.0</v>
      </c>
      <c r="E363" s="40" t="s">
        <v>209</v>
      </c>
      <c r="F363" s="86"/>
      <c r="G363" s="86"/>
      <c r="H363" s="86"/>
      <c r="I363" s="86"/>
      <c r="J363" s="86"/>
      <c r="K363" s="86"/>
      <c r="L363" s="86"/>
      <c r="M363" s="57"/>
      <c r="N363" s="86"/>
    </row>
    <row r="364" ht="19.5" customHeight="1">
      <c r="A364" s="8"/>
      <c r="B364" s="16"/>
      <c r="C364" s="30"/>
      <c r="D364" s="41">
        <v>2600.0</v>
      </c>
      <c r="E364" s="42" t="s">
        <v>210</v>
      </c>
      <c r="F364" s="86"/>
      <c r="G364" s="86"/>
      <c r="H364" s="86"/>
      <c r="I364" s="86"/>
      <c r="J364" s="86"/>
      <c r="K364" s="86"/>
      <c r="L364" s="86"/>
      <c r="M364" s="57"/>
      <c r="N364" s="86"/>
    </row>
    <row r="365" ht="19.5" customHeight="1">
      <c r="A365" s="8"/>
      <c r="B365" s="16"/>
      <c r="C365" s="30"/>
      <c r="D365" s="41">
        <v>20000.0</v>
      </c>
      <c r="E365" s="40" t="s">
        <v>145</v>
      </c>
      <c r="F365" s="39"/>
      <c r="G365" s="86"/>
      <c r="H365" s="86"/>
      <c r="I365" s="86"/>
      <c r="J365" s="86"/>
      <c r="K365" s="86"/>
      <c r="L365" s="86"/>
      <c r="M365" s="57"/>
      <c r="N365" s="86"/>
    </row>
    <row r="366" ht="19.5" customHeight="1">
      <c r="A366" s="8"/>
      <c r="B366" s="16"/>
      <c r="C366" s="30"/>
      <c r="D366" s="86"/>
      <c r="E366" s="42" t="s">
        <v>214</v>
      </c>
      <c r="F366" s="86"/>
      <c r="G366" s="86"/>
      <c r="H366" s="86"/>
      <c r="I366" s="86"/>
      <c r="J366" s="86"/>
      <c r="K366" s="86"/>
      <c r="L366" s="86"/>
      <c r="M366" s="57"/>
      <c r="N366" s="86"/>
    </row>
    <row r="367" ht="19.5" customHeight="1">
      <c r="A367" s="8"/>
      <c r="B367" s="16"/>
      <c r="C367" s="30"/>
      <c r="D367" s="41">
        <v>140000.0</v>
      </c>
      <c r="E367" s="40" t="s">
        <v>211</v>
      </c>
      <c r="F367" s="39"/>
      <c r="G367" s="86"/>
      <c r="H367" s="86"/>
      <c r="I367" s="86"/>
      <c r="J367" s="86"/>
      <c r="K367" s="86"/>
      <c r="L367" s="86"/>
      <c r="M367" s="57"/>
      <c r="N367" s="86"/>
    </row>
    <row r="368" ht="19.5" customHeight="1">
      <c r="A368" s="8"/>
      <c r="B368" s="16"/>
      <c r="C368" s="30"/>
      <c r="D368" s="41">
        <v>400000.0</v>
      </c>
      <c r="E368" s="112" t="s">
        <v>244</v>
      </c>
      <c r="F368" s="86"/>
      <c r="G368" s="86"/>
      <c r="H368" s="86"/>
      <c r="I368" s="86"/>
      <c r="J368" s="86"/>
      <c r="K368" s="86"/>
      <c r="L368" s="86"/>
      <c r="M368" s="57"/>
      <c r="N368" s="86"/>
    </row>
    <row r="369" ht="19.5" customHeight="1">
      <c r="A369" s="8"/>
      <c r="B369" s="16" t="s">
        <v>8</v>
      </c>
      <c r="C369" s="30"/>
      <c r="D369" s="86"/>
      <c r="E369" s="112" t="s">
        <v>212</v>
      </c>
      <c r="F369" s="86"/>
      <c r="G369" s="86"/>
      <c r="H369" s="86"/>
      <c r="I369" s="86"/>
      <c r="J369" s="86"/>
      <c r="K369" s="86"/>
      <c r="L369" s="86"/>
      <c r="M369" s="57"/>
      <c r="N369" s="86"/>
    </row>
  </sheetData>
  <mergeCells count="2">
    <mergeCell ref="B1:G1"/>
    <mergeCell ref="B3:N3"/>
  </mergeCells>
  <drawing r:id="rId1"/>
  <tableParts count="2">
    <tablePart r:id="rId4"/>
    <tablePart r:id="rId5"/>
  </tableParts>
</worksheet>
</file>